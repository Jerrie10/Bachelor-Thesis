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e\Documents\Wiskunde\Jaar 3\Scriptie\Bachelor-Thesis - GitHub\Voronoi regions\"/>
    </mc:Choice>
  </mc:AlternateContent>
  <xr:revisionPtr revIDLastSave="0" documentId="8_{84779C5E-9922-4373-A504-8712B6938642}" xr6:coauthVersionLast="47" xr6:coauthVersionMax="47" xr10:uidLastSave="{00000000-0000-0000-0000-000000000000}"/>
  <bookViews>
    <workbookView xWindow="-105" yWindow="0" windowWidth="19410" windowHeight="20985" xr2:uid="{9F731B12-6C5D-4D9A-8BA3-48249DFB0830}"/>
  </bookViews>
  <sheets>
    <sheet name="vorpop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2" i="1"/>
</calcChain>
</file>

<file path=xl/sharedStrings.xml><?xml version="1.0" encoding="utf-8"?>
<sst xmlns="http://schemas.openxmlformats.org/spreadsheetml/2006/main" count="4" uniqueCount="4">
  <si>
    <t xml:space="preserve">ID </t>
  </si>
  <si>
    <t>Surface area</t>
  </si>
  <si>
    <t>Population</t>
  </si>
  <si>
    <t>Population density pc4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</si>
</sst>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2D09-258E-498B-8506-9167F9C6A5AE}">
  <dimension ref="A1:S101"/>
  <sheetViews>
    <sheetView tabSelected="1" topLeftCell="A4" workbookViewId="0">
      <selection activeCell="R1" sqref="R1"/>
    </sheetView>
  </sheetViews>
  <sheetFormatPr defaultRowHeight="15" x14ac:dyDescent="0.25"/>
  <cols>
    <col min="2" max="2" width="22" customWidth="1"/>
    <col min="3" max="18" width="4.7109375" customWidth="1"/>
    <col min="19" max="19" width="12" customWidth="1"/>
  </cols>
  <sheetData>
    <row r="1" spans="1:19" x14ac:dyDescent="0.25">
      <c r="A1" t="s">
        <v>0</v>
      </c>
      <c r="B1" t="s">
        <v>1</v>
      </c>
      <c r="C1" s="1">
        <v>2311</v>
      </c>
      <c r="D1" s="2">
        <v>2312</v>
      </c>
      <c r="E1" s="3">
        <v>2313</v>
      </c>
      <c r="F1" s="4">
        <v>2314</v>
      </c>
      <c r="G1" s="5">
        <v>2315</v>
      </c>
      <c r="H1" s="6">
        <v>2316</v>
      </c>
      <c r="I1" s="7">
        <v>2317</v>
      </c>
      <c r="J1" s="8">
        <v>2318</v>
      </c>
      <c r="K1" s="9">
        <v>2321</v>
      </c>
      <c r="L1" s="10">
        <v>2322</v>
      </c>
      <c r="M1" s="11">
        <v>2323</v>
      </c>
      <c r="N1" s="12">
        <v>2324</v>
      </c>
      <c r="O1" s="13">
        <v>2331</v>
      </c>
      <c r="P1" s="14">
        <v>2332</v>
      </c>
      <c r="Q1" s="15">
        <v>2333</v>
      </c>
      <c r="R1" s="16">
        <v>2334</v>
      </c>
      <c r="S1" t="s">
        <v>2</v>
      </c>
    </row>
    <row r="2" spans="1:19" x14ac:dyDescent="0.25">
      <c r="A2">
        <v>0</v>
      </c>
      <c r="B2">
        <v>0.37318274806632701</v>
      </c>
      <c r="C2" s="1"/>
      <c r="D2" s="2"/>
      <c r="E2" s="3"/>
      <c r="F2" s="4"/>
      <c r="G2" s="5"/>
      <c r="H2" s="6"/>
      <c r="I2" s="7">
        <v>1</v>
      </c>
      <c r="J2" s="8"/>
      <c r="K2" s="9"/>
      <c r="L2" s="10"/>
      <c r="M2" s="11"/>
      <c r="N2" s="12"/>
      <c r="O2" s="13"/>
      <c r="P2" s="14"/>
      <c r="Q2" s="15"/>
      <c r="R2" s="16"/>
      <c r="S2">
        <f>B2*SUMPRODUCT(C2:R2, C$101:R$101)</f>
        <v>3554.6007660787482</v>
      </c>
    </row>
    <row r="3" spans="1:19" x14ac:dyDescent="0.25">
      <c r="A3">
        <v>1</v>
      </c>
      <c r="B3">
        <v>0.19305511781083501</v>
      </c>
      <c r="C3" s="1"/>
      <c r="D3" s="2"/>
      <c r="E3" s="3"/>
      <c r="F3" s="4"/>
      <c r="G3" s="5"/>
      <c r="H3" s="6"/>
      <c r="I3" s="7">
        <v>0.5</v>
      </c>
      <c r="J3" s="8">
        <v>0.5</v>
      </c>
      <c r="K3" s="9"/>
      <c r="L3" s="10"/>
      <c r="M3" s="11"/>
      <c r="N3" s="12"/>
      <c r="O3" s="13"/>
      <c r="P3" s="14"/>
      <c r="Q3" s="15"/>
      <c r="R3" s="16"/>
      <c r="S3">
        <f>B3*SUMPRODUCT(C3:R3, C$101:R$101)</f>
        <v>1471.6529024875799</v>
      </c>
    </row>
    <row r="4" spans="1:19" x14ac:dyDescent="0.25">
      <c r="A4">
        <v>2</v>
      </c>
      <c r="B4">
        <v>0.17584717771657299</v>
      </c>
      <c r="C4" s="1"/>
      <c r="D4" s="2"/>
      <c r="E4" s="3"/>
      <c r="F4" s="4"/>
      <c r="G4" s="5"/>
      <c r="H4" s="6"/>
      <c r="I4" s="7"/>
      <c r="J4" s="8"/>
      <c r="K4" s="9">
        <v>1</v>
      </c>
      <c r="L4" s="10"/>
      <c r="M4" s="11"/>
      <c r="N4" s="12"/>
      <c r="O4" s="13"/>
      <c r="P4" s="14"/>
      <c r="Q4" s="15"/>
      <c r="R4" s="16"/>
      <c r="S4">
        <f>B4*SUMPRODUCT(C4:R4, C$101:R$101)</f>
        <v>1660.3247189708184</v>
      </c>
    </row>
    <row r="5" spans="1:19" x14ac:dyDescent="0.25">
      <c r="A5">
        <v>3</v>
      </c>
      <c r="B5">
        <v>0.82594703942339698</v>
      </c>
      <c r="C5" s="1"/>
      <c r="D5" s="2"/>
      <c r="E5" s="3"/>
      <c r="F5" s="4"/>
      <c r="G5" s="5"/>
      <c r="H5" s="6"/>
      <c r="I5" s="7"/>
      <c r="J5" s="8"/>
      <c r="K5" s="9">
        <v>0.17</v>
      </c>
      <c r="L5" s="10"/>
      <c r="M5" s="11">
        <v>0.66</v>
      </c>
      <c r="N5" s="12">
        <v>0.17</v>
      </c>
      <c r="O5" s="13"/>
      <c r="P5" s="14"/>
      <c r="Q5" s="15"/>
      <c r="R5" s="16"/>
      <c r="S5">
        <f>B5*SUMPRODUCT(C5:R5, C$101:R$101)</f>
        <v>2416.9881537271185</v>
      </c>
    </row>
    <row r="6" spans="1:19" x14ac:dyDescent="0.25">
      <c r="A6">
        <v>4</v>
      </c>
      <c r="B6">
        <v>0.18735927532478699</v>
      </c>
      <c r="C6" s="1"/>
      <c r="D6" s="2"/>
      <c r="E6" s="3"/>
      <c r="F6" s="4"/>
      <c r="G6" s="5"/>
      <c r="H6" s="6"/>
      <c r="I6" s="7"/>
      <c r="J6" s="8"/>
      <c r="K6" s="9"/>
      <c r="L6" s="10"/>
      <c r="M6" s="11"/>
      <c r="N6" s="12"/>
      <c r="O6" s="13">
        <v>1</v>
      </c>
      <c r="P6" s="14"/>
      <c r="Q6" s="15"/>
      <c r="R6" s="16"/>
      <c r="S6">
        <f>B6*SUMPRODUCT(C6:R6, C$101:R$101)</f>
        <v>1214.5043868116259</v>
      </c>
    </row>
    <row r="7" spans="1:19" x14ac:dyDescent="0.25">
      <c r="A7">
        <v>5</v>
      </c>
      <c r="B7">
        <v>0.10989310487465</v>
      </c>
      <c r="C7" s="1">
        <v>0.66</v>
      </c>
      <c r="D7" s="2">
        <v>0.34</v>
      </c>
      <c r="E7" s="3"/>
      <c r="F7" s="4"/>
      <c r="G7" s="5"/>
      <c r="H7" s="6"/>
      <c r="I7" s="7"/>
      <c r="J7" s="8"/>
      <c r="K7" s="9"/>
      <c r="L7" s="10"/>
      <c r="M7" s="11"/>
      <c r="N7" s="12"/>
      <c r="O7" s="13"/>
      <c r="P7" s="14"/>
      <c r="Q7" s="15"/>
      <c r="R7" s="16"/>
      <c r="S7">
        <f>B7*SUMPRODUCT(C7:R7, C$101:R$101)</f>
        <v>1506.7960535978855</v>
      </c>
    </row>
    <row r="8" spans="1:19" x14ac:dyDescent="0.25">
      <c r="A8">
        <v>6</v>
      </c>
      <c r="B8">
        <v>0.20266362170426</v>
      </c>
      <c r="C8" s="1"/>
      <c r="D8" s="2"/>
      <c r="E8" s="3"/>
      <c r="F8" s="4"/>
      <c r="G8" s="5"/>
      <c r="H8" s="6"/>
      <c r="I8" s="7"/>
      <c r="J8" s="8">
        <v>1</v>
      </c>
      <c r="K8" s="9"/>
      <c r="L8" s="10"/>
      <c r="M8" s="11"/>
      <c r="N8" s="12"/>
      <c r="O8" s="13"/>
      <c r="P8" s="14"/>
      <c r="Q8" s="15"/>
      <c r="R8" s="16"/>
      <c r="S8">
        <f>B8*SUMPRODUCT(C8:R8, C$101:R$101)</f>
        <v>1159.4063787498824</v>
      </c>
    </row>
    <row r="9" spans="1:19" x14ac:dyDescent="0.25">
      <c r="A9">
        <v>7</v>
      </c>
      <c r="B9">
        <v>0.25270861776431203</v>
      </c>
      <c r="C9" s="1"/>
      <c r="D9" s="2"/>
      <c r="E9" s="3"/>
      <c r="F9" s="4"/>
      <c r="G9" s="5"/>
      <c r="H9" s="6"/>
      <c r="I9" s="7"/>
      <c r="J9" s="8"/>
      <c r="K9" s="9"/>
      <c r="L9" s="10"/>
      <c r="M9" s="11"/>
      <c r="N9" s="12"/>
      <c r="O9" s="13"/>
      <c r="P9" s="14"/>
      <c r="Q9" s="15"/>
      <c r="R9" s="16">
        <v>1</v>
      </c>
      <c r="S9">
        <f>B9*SUMPRODUCT(C9:R9, C$101:R$101)</f>
        <v>841.88751050497717</v>
      </c>
    </row>
    <row r="10" spans="1:19" x14ac:dyDescent="0.25">
      <c r="A10">
        <v>8</v>
      </c>
      <c r="B10">
        <v>0.302380276313513</v>
      </c>
      <c r="C10" s="1"/>
      <c r="D10" s="2"/>
      <c r="E10" s="3"/>
      <c r="F10" s="4"/>
      <c r="G10" s="5"/>
      <c r="H10" s="6"/>
      <c r="I10" s="7"/>
      <c r="J10" s="8"/>
      <c r="K10" s="9"/>
      <c r="L10" s="10"/>
      <c r="M10" s="11"/>
      <c r="N10" s="12"/>
      <c r="O10" s="13"/>
      <c r="P10" s="14"/>
      <c r="Q10" s="15"/>
      <c r="R10" s="16">
        <v>1</v>
      </c>
      <c r="S10">
        <f>B10*SUMPRODUCT(C10:R10, C$101:R$101)</f>
        <v>1007.3664297780882</v>
      </c>
    </row>
    <row r="11" spans="1:19" x14ac:dyDescent="0.25">
      <c r="A11">
        <v>9</v>
      </c>
      <c r="B11">
        <v>0.14137379816828799</v>
      </c>
      <c r="C11" s="1"/>
      <c r="D11" s="2"/>
      <c r="E11" s="3"/>
      <c r="F11" s="4"/>
      <c r="G11" s="5"/>
      <c r="H11" s="6"/>
      <c r="I11" s="7"/>
      <c r="J11" s="8">
        <v>1</v>
      </c>
      <c r="K11" s="9"/>
      <c r="L11" s="10"/>
      <c r="M11" s="11"/>
      <c r="N11" s="12"/>
      <c r="O11" s="13"/>
      <c r="P11" s="14"/>
      <c r="Q11" s="15"/>
      <c r="R11" s="16"/>
      <c r="S11">
        <f>B11*SUMPRODUCT(C11:R11, C$101:R$101)</f>
        <v>808.77703657935842</v>
      </c>
    </row>
    <row r="12" spans="1:19" x14ac:dyDescent="0.25">
      <c r="A12">
        <v>10</v>
      </c>
      <c r="B12">
        <v>0.206201160645093</v>
      </c>
      <c r="C12" s="1"/>
      <c r="D12" s="2">
        <v>0.5</v>
      </c>
      <c r="E12" s="3"/>
      <c r="F12" s="4"/>
      <c r="G12" s="5"/>
      <c r="H12" s="6">
        <v>0.5</v>
      </c>
      <c r="I12" s="7"/>
      <c r="J12" s="8"/>
      <c r="K12" s="9"/>
      <c r="L12" s="10"/>
      <c r="M12" s="11"/>
      <c r="N12" s="12"/>
      <c r="O12" s="13"/>
      <c r="P12" s="14"/>
      <c r="Q12" s="15"/>
      <c r="R12" s="16"/>
      <c r="S12">
        <f>B12*SUMPRODUCT(C12:R12, C$101:R$101)</f>
        <v>2524.5637449835431</v>
      </c>
    </row>
    <row r="13" spans="1:19" x14ac:dyDescent="0.25">
      <c r="A13">
        <v>11</v>
      </c>
      <c r="B13">
        <v>0.31976227080802699</v>
      </c>
      <c r="C13" s="1"/>
      <c r="D13" s="2"/>
      <c r="E13" s="3"/>
      <c r="F13" s="4"/>
      <c r="G13" s="5"/>
      <c r="H13" s="6">
        <v>1</v>
      </c>
      <c r="I13" s="7"/>
      <c r="J13" s="8"/>
      <c r="K13" s="9"/>
      <c r="L13" s="10"/>
      <c r="M13" s="11"/>
      <c r="N13" s="12"/>
      <c r="O13" s="13"/>
      <c r="P13" s="14"/>
      <c r="Q13" s="15"/>
      <c r="R13" s="16"/>
      <c r="S13">
        <f>B13*SUMPRODUCT(C13:R13, C$101:R$101)</f>
        <v>3177.4279140219128</v>
      </c>
    </row>
    <row r="14" spans="1:19" x14ac:dyDescent="0.25">
      <c r="A14">
        <v>12</v>
      </c>
      <c r="B14">
        <v>0.23747993743540199</v>
      </c>
      <c r="C14" s="1"/>
      <c r="D14" s="2"/>
      <c r="E14" s="3">
        <v>1</v>
      </c>
      <c r="F14" s="4"/>
      <c r="G14" s="5"/>
      <c r="H14" s="6"/>
      <c r="I14" s="7"/>
      <c r="J14" s="8"/>
      <c r="K14" s="9"/>
      <c r="L14" s="10"/>
      <c r="M14" s="11"/>
      <c r="N14" s="12"/>
      <c r="O14" s="13"/>
      <c r="P14" s="14"/>
      <c r="Q14" s="15"/>
      <c r="R14" s="16"/>
      <c r="S14">
        <f>B14*SUMPRODUCT(C14:R14, C$101:R$101)</f>
        <v>2417.1526886747488</v>
      </c>
    </row>
    <row r="15" spans="1:19" x14ac:dyDescent="0.25">
      <c r="A15">
        <v>13</v>
      </c>
      <c r="B15">
        <v>0.65527922835917696</v>
      </c>
      <c r="C15" s="1"/>
      <c r="D15" s="2"/>
      <c r="E15" s="3"/>
      <c r="F15" s="4">
        <v>0.2</v>
      </c>
      <c r="G15" s="5"/>
      <c r="H15" s="6"/>
      <c r="I15" s="7"/>
      <c r="J15" s="8"/>
      <c r="K15" s="9"/>
      <c r="L15" s="10">
        <v>0.8</v>
      </c>
      <c r="M15" s="11"/>
      <c r="N15" s="12"/>
      <c r="O15" s="13"/>
      <c r="P15" s="14"/>
      <c r="Q15" s="15"/>
      <c r="R15" s="16"/>
      <c r="S15">
        <f>B15*SUMPRODUCT(C15:R15, C$101:R$101)</f>
        <v>816.38429420522425</v>
      </c>
    </row>
    <row r="16" spans="1:19" x14ac:dyDescent="0.25">
      <c r="A16">
        <v>14</v>
      </c>
      <c r="B16">
        <v>0.35573350189037001</v>
      </c>
      <c r="C16" s="1"/>
      <c r="D16" s="2"/>
      <c r="E16" s="3"/>
      <c r="F16" s="4">
        <v>0.5</v>
      </c>
      <c r="G16" s="5"/>
      <c r="H16" s="6"/>
      <c r="I16" s="7"/>
      <c r="J16" s="8"/>
      <c r="K16" s="9"/>
      <c r="L16" s="10">
        <v>0.5</v>
      </c>
      <c r="M16" s="11"/>
      <c r="N16" s="12"/>
      <c r="O16" s="13"/>
      <c r="P16" s="14"/>
      <c r="Q16" s="15"/>
      <c r="R16" s="16"/>
      <c r="S16">
        <f>B16*SUMPRODUCT(C16:R16, C$101:R$101)</f>
        <v>1000.66803993153</v>
      </c>
    </row>
    <row r="17" spans="1:19" x14ac:dyDescent="0.25">
      <c r="A17">
        <v>15</v>
      </c>
      <c r="B17">
        <v>0.189920420135827</v>
      </c>
      <c r="C17" s="1"/>
      <c r="D17" s="2"/>
      <c r="E17" s="3">
        <v>0.66</v>
      </c>
      <c r="F17" s="4"/>
      <c r="G17" s="5">
        <v>0.34</v>
      </c>
      <c r="H17" s="6"/>
      <c r="I17" s="7"/>
      <c r="J17" s="8"/>
      <c r="K17" s="9"/>
      <c r="L17" s="10"/>
      <c r="M17" s="11"/>
      <c r="N17" s="12"/>
      <c r="O17" s="13"/>
      <c r="P17" s="14"/>
      <c r="Q17" s="15"/>
      <c r="R17" s="16"/>
      <c r="S17">
        <f>B17*SUMPRODUCT(C17:R17, C$101:R$101)</f>
        <v>1857.6359602320726</v>
      </c>
    </row>
    <row r="18" spans="1:19" x14ac:dyDescent="0.25">
      <c r="A18">
        <v>16</v>
      </c>
      <c r="B18">
        <v>0.25122907258501898</v>
      </c>
      <c r="C18" s="1"/>
      <c r="D18" s="2"/>
      <c r="E18" s="3"/>
      <c r="F18" s="4"/>
      <c r="G18" s="5">
        <v>1</v>
      </c>
      <c r="H18" s="6"/>
      <c r="I18" s="7"/>
      <c r="J18" s="8"/>
      <c r="K18" s="9"/>
      <c r="L18" s="10"/>
      <c r="M18" s="11"/>
      <c r="N18" s="12"/>
      <c r="O18" s="13"/>
      <c r="P18" s="14"/>
      <c r="Q18" s="15"/>
      <c r="R18" s="16"/>
      <c r="S18">
        <f>B18*SUMPRODUCT(C18:R18, C$101:R$101)</f>
        <v>2263.5891184782345</v>
      </c>
    </row>
    <row r="19" spans="1:19" x14ac:dyDescent="0.25">
      <c r="A19">
        <v>17</v>
      </c>
      <c r="B19">
        <v>0.107850098873134</v>
      </c>
      <c r="C19" s="1"/>
      <c r="D19" s="2"/>
      <c r="E19" s="3"/>
      <c r="F19" s="4"/>
      <c r="G19" s="5"/>
      <c r="H19" s="6"/>
      <c r="I19" s="7"/>
      <c r="J19" s="8"/>
      <c r="K19" s="9"/>
      <c r="L19" s="10"/>
      <c r="M19" s="11"/>
      <c r="N19" s="12"/>
      <c r="O19" s="13">
        <v>1</v>
      </c>
      <c r="P19" s="14"/>
      <c r="Q19" s="15"/>
      <c r="R19" s="16"/>
      <c r="S19">
        <f>B19*SUMPRODUCT(C19:R19, C$101:R$101)</f>
        <v>699.10826657728876</v>
      </c>
    </row>
    <row r="20" spans="1:19" x14ac:dyDescent="0.25">
      <c r="A20">
        <v>18</v>
      </c>
      <c r="B20">
        <v>0.16499640807921601</v>
      </c>
      <c r="C20" s="1"/>
      <c r="D20" s="2"/>
      <c r="E20" s="3"/>
      <c r="F20" s="4"/>
      <c r="G20" s="5"/>
      <c r="H20" s="6"/>
      <c r="I20" s="7"/>
      <c r="J20" s="8"/>
      <c r="K20" s="9"/>
      <c r="L20" s="10"/>
      <c r="M20" s="11"/>
      <c r="N20" s="12"/>
      <c r="O20" s="13">
        <v>1</v>
      </c>
      <c r="P20" s="14"/>
      <c r="Q20" s="15"/>
      <c r="R20" s="16"/>
      <c r="S20">
        <f>B20*SUMPRODUCT(C20:R20, C$101:R$101)</f>
        <v>1069.5433203026394</v>
      </c>
    </row>
    <row r="21" spans="1:19" x14ac:dyDescent="0.25">
      <c r="A21">
        <v>19</v>
      </c>
      <c r="B21">
        <v>0.12663640566780199</v>
      </c>
      <c r="C21" s="1"/>
      <c r="D21" s="2">
        <v>0.6</v>
      </c>
      <c r="E21" s="3"/>
      <c r="F21" s="4"/>
      <c r="G21" s="5"/>
      <c r="H21" s="6">
        <v>0.1</v>
      </c>
      <c r="I21" s="7"/>
      <c r="J21" s="8"/>
      <c r="K21" s="9"/>
      <c r="L21" s="10"/>
      <c r="M21" s="11"/>
      <c r="N21" s="12"/>
      <c r="O21" s="13"/>
      <c r="P21" s="14"/>
      <c r="Q21" s="15">
        <v>0.15</v>
      </c>
      <c r="R21" s="16">
        <v>0.15</v>
      </c>
      <c r="S21">
        <f>B21*SUMPRODUCT(C21:R21, C$101:R$101)</f>
        <v>1356.341574023837</v>
      </c>
    </row>
    <row r="22" spans="1:19" x14ac:dyDescent="0.25">
      <c r="A22">
        <v>20</v>
      </c>
      <c r="B22">
        <v>0.115039450067385</v>
      </c>
      <c r="C22" s="1"/>
      <c r="D22" s="2"/>
      <c r="E22" s="3"/>
      <c r="F22" s="4"/>
      <c r="G22" s="5"/>
      <c r="H22" s="6"/>
      <c r="I22" s="7"/>
      <c r="J22" s="8"/>
      <c r="K22" s="9"/>
      <c r="L22" s="10"/>
      <c r="M22" s="11"/>
      <c r="N22" s="12"/>
      <c r="O22" s="13"/>
      <c r="P22" s="14"/>
      <c r="Q22" s="15">
        <v>0.5</v>
      </c>
      <c r="R22" s="16">
        <v>0.5</v>
      </c>
      <c r="S22">
        <f>B22*SUMPRODUCT(C22:R22, C$101:R$101)</f>
        <v>378.51463881702944</v>
      </c>
    </row>
    <row r="23" spans="1:19" x14ac:dyDescent="0.25">
      <c r="A23">
        <v>21</v>
      </c>
      <c r="B23">
        <v>0.189928286793552</v>
      </c>
      <c r="C23" s="1"/>
      <c r="D23" s="2"/>
      <c r="E23" s="3"/>
      <c r="F23" s="4"/>
      <c r="G23" s="5"/>
      <c r="H23" s="6">
        <v>0.66</v>
      </c>
      <c r="I23" s="7"/>
      <c r="J23" s="8"/>
      <c r="K23" s="9"/>
      <c r="L23" s="10"/>
      <c r="M23" s="11"/>
      <c r="N23" s="12"/>
      <c r="O23" s="13"/>
      <c r="P23" s="14"/>
      <c r="Q23" s="15"/>
      <c r="R23" s="16">
        <v>0.34</v>
      </c>
      <c r="S23">
        <f>B23*SUMPRODUCT(C23:R23, C$101:R$101)</f>
        <v>1460.7407586153286</v>
      </c>
    </row>
    <row r="24" spans="1:19" x14ac:dyDescent="0.25">
      <c r="A24">
        <v>22</v>
      </c>
      <c r="B24">
        <v>8.6501000641916903E-2</v>
      </c>
      <c r="C24" s="1"/>
      <c r="D24" s="2">
        <v>0.5</v>
      </c>
      <c r="E24" s="3"/>
      <c r="F24" s="4"/>
      <c r="G24" s="5"/>
      <c r="H24" s="6">
        <v>0.5</v>
      </c>
      <c r="I24" s="7"/>
      <c r="J24" s="8"/>
      <c r="K24" s="9"/>
      <c r="L24" s="10"/>
      <c r="M24" s="11"/>
      <c r="N24" s="12"/>
      <c r="O24" s="13"/>
      <c r="P24" s="14"/>
      <c r="Q24" s="15"/>
      <c r="R24" s="16"/>
      <c r="S24">
        <f>B24*SUMPRODUCT(C24:R24, C$101:R$101)</f>
        <v>1059.0497620973424</v>
      </c>
    </row>
    <row r="25" spans="1:19" x14ac:dyDescent="0.25">
      <c r="A25">
        <v>23</v>
      </c>
      <c r="B25">
        <v>5.2234455980109097E-2</v>
      </c>
      <c r="C25" s="1"/>
      <c r="D25" s="2">
        <v>1</v>
      </c>
      <c r="E25" s="3"/>
      <c r="F25" s="4"/>
      <c r="G25" s="5"/>
      <c r="H25" s="6"/>
      <c r="I25" s="7"/>
      <c r="J25" s="8"/>
      <c r="K25" s="9"/>
      <c r="L25" s="10"/>
      <c r="M25" s="11"/>
      <c r="N25" s="12"/>
      <c r="O25" s="13"/>
      <c r="P25" s="14"/>
      <c r="Q25" s="15"/>
      <c r="R25" s="16"/>
      <c r="S25">
        <f>B25*SUMPRODUCT(C25:R25, C$101:R$101)</f>
        <v>759.98898286452891</v>
      </c>
    </row>
    <row r="26" spans="1:19" x14ac:dyDescent="0.25">
      <c r="A26">
        <v>24</v>
      </c>
      <c r="B26">
        <v>0.238848394744195</v>
      </c>
      <c r="C26" s="1"/>
      <c r="D26" s="2"/>
      <c r="E26" s="3"/>
      <c r="F26" s="4"/>
      <c r="G26" s="5">
        <v>0.2</v>
      </c>
      <c r="H26" s="6">
        <v>0.8</v>
      </c>
      <c r="I26" s="7"/>
      <c r="J26" s="8"/>
      <c r="K26" s="9"/>
      <c r="L26" s="10"/>
      <c r="M26" s="11"/>
      <c r="N26" s="12"/>
      <c r="O26" s="13"/>
      <c r="P26" s="14"/>
      <c r="Q26" s="15"/>
      <c r="R26" s="16"/>
      <c r="S26">
        <f>B26*SUMPRODUCT(C26:R26, C$101:R$101)</f>
        <v>2329.1271501217566</v>
      </c>
    </row>
    <row r="27" spans="1:19" x14ac:dyDescent="0.25">
      <c r="A27">
        <v>25</v>
      </c>
      <c r="B27">
        <v>0.20575347225687299</v>
      </c>
      <c r="C27" s="1"/>
      <c r="D27" s="2"/>
      <c r="E27" s="3"/>
      <c r="F27" s="4"/>
      <c r="G27" s="5"/>
      <c r="H27" s="6"/>
      <c r="I27" s="7">
        <v>1</v>
      </c>
      <c r="J27" s="8"/>
      <c r="K27" s="9"/>
      <c r="L27" s="10"/>
      <c r="M27" s="11"/>
      <c r="N27" s="12"/>
      <c r="O27" s="13"/>
      <c r="P27" s="14"/>
      <c r="Q27" s="15"/>
      <c r="R27" s="16"/>
      <c r="S27">
        <f>B27*SUMPRODUCT(C27:R27, C$101:R$101)</f>
        <v>1959.8211704514652</v>
      </c>
    </row>
    <row r="28" spans="1:19" x14ac:dyDescent="0.25">
      <c r="A28">
        <v>26</v>
      </c>
      <c r="B28">
        <v>0.30675408727776698</v>
      </c>
      <c r="C28" s="1"/>
      <c r="D28" s="2"/>
      <c r="E28" s="3"/>
      <c r="F28" s="4"/>
      <c r="G28" s="5"/>
      <c r="H28" s="6">
        <v>0.5</v>
      </c>
      <c r="I28" s="7">
        <v>0.16</v>
      </c>
      <c r="J28" s="8">
        <v>0.34</v>
      </c>
      <c r="K28" s="9"/>
      <c r="L28" s="10"/>
      <c r="M28" s="11"/>
      <c r="N28" s="12"/>
      <c r="O28" s="13"/>
      <c r="P28" s="14"/>
      <c r="Q28" s="15"/>
      <c r="R28" s="16"/>
      <c r="S28">
        <f>B28*SUMPRODUCT(C28:R28, C$101:R$101)</f>
        <v>2588.2447273954494</v>
      </c>
    </row>
    <row r="29" spans="1:19" x14ac:dyDescent="0.25">
      <c r="A29">
        <v>27</v>
      </c>
      <c r="B29">
        <v>0.30893347699867402</v>
      </c>
      <c r="C29" s="1"/>
      <c r="D29" s="2"/>
      <c r="E29" s="3"/>
      <c r="F29" s="4"/>
      <c r="G29" s="5"/>
      <c r="H29" s="6"/>
      <c r="I29" s="7">
        <v>1</v>
      </c>
      <c r="J29" s="8"/>
      <c r="K29" s="9"/>
      <c r="L29" s="10"/>
      <c r="M29" s="11"/>
      <c r="N29" s="12"/>
      <c r="O29" s="13"/>
      <c r="P29" s="14"/>
      <c r="Q29" s="15"/>
      <c r="R29" s="16"/>
      <c r="S29">
        <f>B29*SUMPRODUCT(C29:R29, C$101:R$101)</f>
        <v>2942.620417736146</v>
      </c>
    </row>
    <row r="30" spans="1:19" x14ac:dyDescent="0.25">
      <c r="A30">
        <v>28</v>
      </c>
      <c r="B30">
        <v>0.16625593047378101</v>
      </c>
      <c r="C30" s="1"/>
      <c r="D30" s="2">
        <v>0.1</v>
      </c>
      <c r="E30" s="3"/>
      <c r="F30" s="4"/>
      <c r="G30" s="5">
        <v>0.5</v>
      </c>
      <c r="H30" s="6">
        <v>0.4</v>
      </c>
      <c r="I30" s="7"/>
      <c r="J30" s="8"/>
      <c r="K30" s="9"/>
      <c r="L30" s="10"/>
      <c r="M30" s="11"/>
      <c r="N30" s="12"/>
      <c r="O30" s="13"/>
      <c r="P30" s="14"/>
      <c r="Q30" s="15"/>
      <c r="R30" s="16"/>
      <c r="S30">
        <f>B30*SUMPRODUCT(C30:R30, C$101:R$101)</f>
        <v>1651.7069737313957</v>
      </c>
    </row>
    <row r="31" spans="1:19" x14ac:dyDescent="0.25">
      <c r="A31">
        <v>29</v>
      </c>
      <c r="B31">
        <v>7.6121781280768602E-2</v>
      </c>
      <c r="C31" s="1"/>
      <c r="D31" s="2"/>
      <c r="E31" s="3"/>
      <c r="F31" s="4"/>
      <c r="G31" s="5">
        <v>0.66</v>
      </c>
      <c r="H31" s="6">
        <v>0.34</v>
      </c>
      <c r="I31" s="7"/>
      <c r="J31" s="8"/>
      <c r="K31" s="9"/>
      <c r="L31" s="10"/>
      <c r="M31" s="11"/>
      <c r="N31" s="12"/>
      <c r="O31" s="13"/>
      <c r="P31" s="14"/>
      <c r="Q31" s="15"/>
      <c r="R31" s="16"/>
      <c r="S31">
        <f>B31*SUMPRODUCT(C31:R31, C$101:R$101)</f>
        <v>709.84831849193995</v>
      </c>
    </row>
    <row r="32" spans="1:19" x14ac:dyDescent="0.25">
      <c r="A32">
        <v>30</v>
      </c>
      <c r="B32">
        <v>0.34489040186401998</v>
      </c>
      <c r="C32" s="1"/>
      <c r="D32" s="2"/>
      <c r="E32" s="3"/>
      <c r="F32" s="4"/>
      <c r="G32" s="5">
        <v>0.66</v>
      </c>
      <c r="H32" s="6"/>
      <c r="I32" s="7">
        <v>0.34</v>
      </c>
      <c r="J32" s="8"/>
      <c r="K32" s="9"/>
      <c r="L32" s="10"/>
      <c r="M32" s="11"/>
      <c r="N32" s="12"/>
      <c r="O32" s="13"/>
      <c r="P32" s="14"/>
      <c r="Q32" s="15"/>
      <c r="R32" s="16"/>
      <c r="S32">
        <f>B32*SUMPRODUCT(C32:R32, C$101:R$101)</f>
        <v>3167.8776054322061</v>
      </c>
    </row>
    <row r="33" spans="1:19" x14ac:dyDescent="0.25">
      <c r="A33">
        <v>31</v>
      </c>
      <c r="B33">
        <v>0.127939406476066</v>
      </c>
      <c r="C33" s="1"/>
      <c r="D33" s="2"/>
      <c r="E33" s="3">
        <v>0.1</v>
      </c>
      <c r="F33" s="4">
        <v>0.9</v>
      </c>
      <c r="G33" s="5"/>
      <c r="H33" s="6"/>
      <c r="I33" s="7"/>
      <c r="J33" s="8"/>
      <c r="K33" s="9"/>
      <c r="L33" s="10"/>
      <c r="M33" s="11"/>
      <c r="N33" s="12"/>
      <c r="O33" s="13"/>
      <c r="P33" s="14"/>
      <c r="Q33" s="15"/>
      <c r="R33" s="16"/>
      <c r="S33">
        <f>B33*SUMPRODUCT(C33:R33, C$101:R$101)</f>
        <v>754.86543778275245</v>
      </c>
    </row>
    <row r="34" spans="1:19" x14ac:dyDescent="0.25">
      <c r="A34">
        <v>32</v>
      </c>
      <c r="B34">
        <v>0.163282174685527</v>
      </c>
      <c r="C34" s="1"/>
      <c r="D34" s="2"/>
      <c r="E34" s="3">
        <v>0.2</v>
      </c>
      <c r="F34" s="4">
        <v>0.8</v>
      </c>
      <c r="G34" s="5"/>
      <c r="H34" s="6"/>
      <c r="I34" s="7"/>
      <c r="J34" s="8"/>
      <c r="K34" s="9"/>
      <c r="L34" s="10"/>
      <c r="M34" s="11"/>
      <c r="N34" s="12"/>
      <c r="O34" s="13"/>
      <c r="P34" s="14"/>
      <c r="Q34" s="15"/>
      <c r="R34" s="16"/>
      <c r="S34">
        <f>B34*SUMPRODUCT(C34:R34, C$101:R$101)</f>
        <v>1041.0105703084521</v>
      </c>
    </row>
    <row r="35" spans="1:19" x14ac:dyDescent="0.25">
      <c r="A35">
        <v>33</v>
      </c>
      <c r="B35">
        <v>0.2134395528902</v>
      </c>
      <c r="C35" s="1"/>
      <c r="D35" s="2"/>
      <c r="E35" s="3">
        <v>0.5</v>
      </c>
      <c r="F35" s="4"/>
      <c r="G35" s="5">
        <v>0.5</v>
      </c>
      <c r="H35" s="6"/>
      <c r="I35" s="7"/>
      <c r="J35" s="8"/>
      <c r="K35" s="9"/>
      <c r="L35" s="10"/>
      <c r="M35" s="11"/>
      <c r="N35" s="12"/>
      <c r="O35" s="13"/>
      <c r="P35" s="14"/>
      <c r="Q35" s="15"/>
      <c r="R35" s="16"/>
      <c r="S35">
        <f>B35*SUMPRODUCT(C35:R35, C$101:R$101)</f>
        <v>2047.782314455912</v>
      </c>
    </row>
    <row r="36" spans="1:19" x14ac:dyDescent="0.25">
      <c r="A36">
        <v>34</v>
      </c>
      <c r="B36">
        <v>0.19840826210791801</v>
      </c>
      <c r="C36" s="1"/>
      <c r="D36" s="2"/>
      <c r="E36" s="3"/>
      <c r="F36" s="4">
        <v>1</v>
      </c>
      <c r="G36" s="5"/>
      <c r="H36" s="6"/>
      <c r="I36" s="7"/>
      <c r="J36" s="8"/>
      <c r="K36" s="9"/>
      <c r="L36" s="10"/>
      <c r="M36" s="11"/>
      <c r="N36" s="12"/>
      <c r="O36" s="13"/>
      <c r="P36" s="14"/>
      <c r="Q36" s="15"/>
      <c r="R36" s="16"/>
      <c r="S36">
        <f>B36*SUMPRODUCT(C36:R36, C$101:R$101)</f>
        <v>1076.3306117876778</v>
      </c>
    </row>
    <row r="37" spans="1:19" x14ac:dyDescent="0.25">
      <c r="A37">
        <v>35</v>
      </c>
      <c r="B37">
        <v>0.23971230084806899</v>
      </c>
      <c r="C37" s="1"/>
      <c r="D37" s="2"/>
      <c r="E37" s="3"/>
      <c r="F37" s="4">
        <v>1</v>
      </c>
      <c r="G37" s="5"/>
      <c r="H37" s="6"/>
      <c r="I37" s="7"/>
      <c r="J37" s="8"/>
      <c r="K37" s="9"/>
      <c r="L37" s="10"/>
      <c r="M37" s="11"/>
      <c r="N37" s="12"/>
      <c r="O37" s="13"/>
      <c r="P37" s="14"/>
      <c r="Q37" s="15"/>
      <c r="R37" s="16"/>
      <c r="S37">
        <f>B37*SUMPRODUCT(C37:R37, C$101:R$101)</f>
        <v>1300.3979001867251</v>
      </c>
    </row>
    <row r="38" spans="1:19" x14ac:dyDescent="0.25">
      <c r="A38">
        <v>36</v>
      </c>
      <c r="B38">
        <v>0.17597137766653501</v>
      </c>
      <c r="C38" s="1"/>
      <c r="D38" s="2"/>
      <c r="E38" s="3"/>
      <c r="F38" s="4">
        <v>1</v>
      </c>
      <c r="G38" s="5"/>
      <c r="H38" s="6"/>
      <c r="I38" s="7"/>
      <c r="J38" s="8"/>
      <c r="K38" s="9"/>
      <c r="L38" s="10"/>
      <c r="M38" s="11"/>
      <c r="N38" s="12"/>
      <c r="O38" s="13"/>
      <c r="P38" s="14"/>
      <c r="Q38" s="15"/>
      <c r="R38" s="16"/>
      <c r="S38">
        <f>B38*SUMPRODUCT(C38:R38, C$101:R$101)</f>
        <v>954.61438232810099</v>
      </c>
    </row>
    <row r="39" spans="1:19" x14ac:dyDescent="0.25">
      <c r="A39">
        <v>37</v>
      </c>
      <c r="B39">
        <v>0.17677915750180501</v>
      </c>
      <c r="C39" s="1">
        <v>0.66</v>
      </c>
      <c r="D39" s="2">
        <v>0.34</v>
      </c>
      <c r="E39" s="3"/>
      <c r="F39" s="4"/>
      <c r="G39" s="5"/>
      <c r="H39" s="6"/>
      <c r="I39" s="7"/>
      <c r="J39" s="8"/>
      <c r="K39" s="9"/>
      <c r="L39" s="10"/>
      <c r="M39" s="11"/>
      <c r="N39" s="12"/>
      <c r="O39" s="13"/>
      <c r="P39" s="14"/>
      <c r="Q39" s="15"/>
      <c r="R39" s="16"/>
      <c r="S39">
        <f>B39*SUMPRODUCT(C39:R39, C$101:R$101)</f>
        <v>2423.9021837258579</v>
      </c>
    </row>
    <row r="40" spans="1:19" x14ac:dyDescent="0.25">
      <c r="A40">
        <v>38</v>
      </c>
      <c r="B40">
        <v>0.115278157270751</v>
      </c>
      <c r="C40" s="1"/>
      <c r="D40" s="2"/>
      <c r="E40" s="3">
        <v>1</v>
      </c>
      <c r="F40" s="4"/>
      <c r="G40" s="5"/>
      <c r="H40" s="6"/>
      <c r="I40" s="7"/>
      <c r="J40" s="8"/>
      <c r="K40" s="9"/>
      <c r="L40" s="10"/>
      <c r="M40" s="11"/>
      <c r="N40" s="12"/>
      <c r="O40" s="13"/>
      <c r="P40" s="14"/>
      <c r="Q40" s="15"/>
      <c r="R40" s="16"/>
      <c r="S40">
        <f>B40*SUMPRODUCT(C40:R40, C$101:R$101)</f>
        <v>1173.3408337631122</v>
      </c>
    </row>
    <row r="41" spans="1:19" x14ac:dyDescent="0.25">
      <c r="A41">
        <v>39</v>
      </c>
      <c r="B41">
        <v>0.14346675326188299</v>
      </c>
      <c r="C41" s="1">
        <v>0.66</v>
      </c>
      <c r="D41" s="2"/>
      <c r="E41" s="3">
        <v>0.34</v>
      </c>
      <c r="F41" s="4"/>
      <c r="G41" s="5"/>
      <c r="H41" s="6"/>
      <c r="I41" s="7"/>
      <c r="J41" s="8"/>
      <c r="K41" s="9"/>
      <c r="L41" s="10"/>
      <c r="M41" s="11"/>
      <c r="N41" s="12"/>
      <c r="O41" s="13"/>
      <c r="P41" s="14"/>
      <c r="Q41" s="15"/>
      <c r="R41" s="16"/>
      <c r="S41">
        <f>B41*SUMPRODUCT(C41:R41, C$101:R$101)</f>
        <v>1753.917372242465</v>
      </c>
    </row>
    <row r="42" spans="1:19" x14ac:dyDescent="0.25">
      <c r="A42">
        <v>40</v>
      </c>
      <c r="B42">
        <v>6.0185256764594103E-2</v>
      </c>
      <c r="C42" s="1"/>
      <c r="D42" s="2"/>
      <c r="E42" s="3">
        <v>1</v>
      </c>
      <c r="F42" s="4"/>
      <c r="G42" s="5"/>
      <c r="H42" s="6"/>
      <c r="I42" s="7"/>
      <c r="J42" s="8"/>
      <c r="K42" s="9"/>
      <c r="L42" s="10"/>
      <c r="M42" s="11"/>
      <c r="N42" s="12"/>
      <c r="O42" s="13"/>
      <c r="P42" s="14"/>
      <c r="Q42" s="15"/>
      <c r="R42" s="16"/>
      <c r="S42">
        <f>B42*SUMPRODUCT(C42:R42, C$101:R$101)</f>
        <v>612.58629582842377</v>
      </c>
    </row>
    <row r="43" spans="1:19" x14ac:dyDescent="0.25">
      <c r="A43">
        <v>41</v>
      </c>
      <c r="B43">
        <v>0.43691518445602601</v>
      </c>
      <c r="C43" s="1"/>
      <c r="D43" s="2"/>
      <c r="E43" s="3">
        <v>0.1</v>
      </c>
      <c r="F43" s="4"/>
      <c r="G43" s="5"/>
      <c r="H43" s="6"/>
      <c r="I43" s="7"/>
      <c r="J43" s="8"/>
      <c r="K43" s="9">
        <v>0.3</v>
      </c>
      <c r="L43" s="10">
        <v>0.6</v>
      </c>
      <c r="M43" s="11"/>
      <c r="N43" s="12"/>
      <c r="O43" s="13"/>
      <c r="P43" s="14"/>
      <c r="Q43" s="15"/>
      <c r="R43" s="16"/>
      <c r="S43">
        <f>B43*SUMPRODUCT(C43:R43, C$101:R$101)</f>
        <v>1735.0171437382737</v>
      </c>
    </row>
    <row r="44" spans="1:19" x14ac:dyDescent="0.25">
      <c r="A44">
        <v>42</v>
      </c>
      <c r="B44">
        <v>0.11342390120446599</v>
      </c>
      <c r="C44" s="1">
        <v>0.2</v>
      </c>
      <c r="D44" s="2"/>
      <c r="E44" s="3">
        <v>0.3</v>
      </c>
      <c r="F44" s="4"/>
      <c r="G44" s="5"/>
      <c r="H44" s="6"/>
      <c r="I44" s="7"/>
      <c r="J44" s="8"/>
      <c r="K44" s="9">
        <v>0.5</v>
      </c>
      <c r="L44" s="10"/>
      <c r="M44" s="11"/>
      <c r="N44" s="12"/>
      <c r="O44" s="13"/>
      <c r="P44" s="14"/>
      <c r="Q44" s="15"/>
      <c r="R44" s="16"/>
      <c r="S44">
        <f>B44*SUMPRODUCT(C44:R44, C$101:R$101)</f>
        <v>1183.0542160856542</v>
      </c>
    </row>
    <row r="45" spans="1:19" x14ac:dyDescent="0.25">
      <c r="A45">
        <v>43</v>
      </c>
      <c r="B45">
        <v>0.81853505224335499</v>
      </c>
      <c r="C45" s="1"/>
      <c r="D45" s="2"/>
      <c r="E45" s="3"/>
      <c r="F45" s="4"/>
      <c r="G45" s="5"/>
      <c r="H45" s="6"/>
      <c r="I45" s="7"/>
      <c r="J45" s="8"/>
      <c r="K45" s="9">
        <v>0.35</v>
      </c>
      <c r="L45" s="10">
        <v>0.2</v>
      </c>
      <c r="M45" s="11">
        <v>0.4</v>
      </c>
      <c r="N45" s="12">
        <v>0.05</v>
      </c>
      <c r="O45" s="13"/>
      <c r="P45" s="14"/>
      <c r="Q45" s="15"/>
      <c r="R45" s="16"/>
      <c r="S45">
        <f>B45*SUMPRODUCT(C45:R45, C$101:R$101)</f>
        <v>3072.3039396073295</v>
      </c>
    </row>
    <row r="46" spans="1:19" x14ac:dyDescent="0.25">
      <c r="A46">
        <v>44</v>
      </c>
      <c r="B46">
        <v>0.12555974813435</v>
      </c>
      <c r="C46" s="1">
        <v>0.8</v>
      </c>
      <c r="D46" s="2"/>
      <c r="E46" s="3"/>
      <c r="F46" s="4"/>
      <c r="G46" s="5"/>
      <c r="H46" s="6"/>
      <c r="I46" s="7"/>
      <c r="J46" s="8"/>
      <c r="K46" s="9">
        <v>0.2</v>
      </c>
      <c r="L46" s="10"/>
      <c r="M46" s="11"/>
      <c r="N46" s="12"/>
      <c r="O46" s="13"/>
      <c r="P46" s="14"/>
      <c r="Q46" s="15"/>
      <c r="R46" s="16"/>
      <c r="S46">
        <f>B46*SUMPRODUCT(C46:R46, C$101:R$101)</f>
        <v>1571.02229574275</v>
      </c>
    </row>
    <row r="47" spans="1:19" x14ac:dyDescent="0.25">
      <c r="A47">
        <v>45</v>
      </c>
      <c r="B47">
        <v>0.256533320424921</v>
      </c>
      <c r="C47" s="1">
        <v>0.8</v>
      </c>
      <c r="D47" s="2"/>
      <c r="E47" s="3"/>
      <c r="F47" s="4"/>
      <c r="G47" s="5"/>
      <c r="H47" s="6"/>
      <c r="I47" s="7"/>
      <c r="J47" s="8"/>
      <c r="K47" s="9">
        <v>0.2</v>
      </c>
      <c r="L47" s="10"/>
      <c r="M47" s="11"/>
      <c r="N47" s="12"/>
      <c r="O47" s="13"/>
      <c r="P47" s="14"/>
      <c r="Q47" s="15"/>
      <c r="R47" s="16"/>
      <c r="S47">
        <f>B47*SUMPRODUCT(C47:R47, C$101:R$101)</f>
        <v>3209.7831667935134</v>
      </c>
    </row>
    <row r="48" spans="1:19" x14ac:dyDescent="0.25">
      <c r="A48">
        <v>46</v>
      </c>
      <c r="B48">
        <v>0.11944270343989399</v>
      </c>
      <c r="C48" s="1">
        <v>0.2</v>
      </c>
      <c r="D48" s="2">
        <v>0.8</v>
      </c>
      <c r="E48" s="3"/>
      <c r="F48" s="4"/>
      <c r="G48" s="5"/>
      <c r="H48" s="6"/>
      <c r="I48" s="7"/>
      <c r="J48" s="8"/>
      <c r="K48" s="9"/>
      <c r="L48" s="10"/>
      <c r="M48" s="11"/>
      <c r="N48" s="12"/>
      <c r="O48" s="13"/>
      <c r="P48" s="14"/>
      <c r="Q48" s="15"/>
      <c r="R48" s="16"/>
      <c r="S48">
        <f>B48*SUMPRODUCT(C48:R48, C$101:R$101)</f>
        <v>1707.5053356087458</v>
      </c>
    </row>
    <row r="49" spans="1:19" x14ac:dyDescent="0.25">
      <c r="A49">
        <v>47</v>
      </c>
      <c r="B49">
        <v>0.13094401548423801</v>
      </c>
      <c r="C49" s="1"/>
      <c r="D49" s="2"/>
      <c r="E49" s="3"/>
      <c r="F49" s="4"/>
      <c r="G49" s="5"/>
      <c r="H49" s="6"/>
      <c r="I49" s="7"/>
      <c r="J49" s="8"/>
      <c r="K49" s="9"/>
      <c r="L49" s="10"/>
      <c r="M49" s="11"/>
      <c r="N49" s="12"/>
      <c r="O49" s="13">
        <v>1</v>
      </c>
      <c r="P49" s="14"/>
      <c r="Q49" s="15"/>
      <c r="R49" s="16"/>
      <c r="S49">
        <f>B49*SUMPRODUCT(C49:R49, C$101:R$101)</f>
        <v>848.80815725111381</v>
      </c>
    </row>
    <row r="50" spans="1:19" x14ac:dyDescent="0.25">
      <c r="A50">
        <v>48</v>
      </c>
      <c r="B50">
        <v>0.238919988463134</v>
      </c>
      <c r="C50" s="1"/>
      <c r="D50" s="2"/>
      <c r="E50" s="3"/>
      <c r="F50" s="4"/>
      <c r="G50" s="5"/>
      <c r="H50" s="6"/>
      <c r="I50" s="7"/>
      <c r="J50" s="8"/>
      <c r="K50" s="9"/>
      <c r="L50" s="10"/>
      <c r="M50" s="11"/>
      <c r="N50" s="12"/>
      <c r="O50" s="13">
        <v>0.8</v>
      </c>
      <c r="P50" s="14">
        <v>0.2</v>
      </c>
      <c r="Q50" s="15"/>
      <c r="R50" s="16"/>
      <c r="S50">
        <f>B50*SUMPRODUCT(C50:R50, C$101:R$101)</f>
        <v>1571.214349706539</v>
      </c>
    </row>
    <row r="51" spans="1:19" x14ac:dyDescent="0.25">
      <c r="A51">
        <v>49</v>
      </c>
      <c r="B51">
        <v>0.15057778081792</v>
      </c>
      <c r="C51" s="1"/>
      <c r="D51" s="2"/>
      <c r="E51" s="3"/>
      <c r="F51" s="4"/>
      <c r="G51" s="5"/>
      <c r="H51" s="6"/>
      <c r="I51" s="7"/>
      <c r="J51" s="8"/>
      <c r="K51" s="9"/>
      <c r="L51" s="10"/>
      <c r="M51" s="11"/>
      <c r="N51" s="12"/>
      <c r="O51" s="13">
        <v>0.6</v>
      </c>
      <c r="P51" s="14">
        <v>0.4</v>
      </c>
      <c r="Q51" s="15"/>
      <c r="R51" s="16"/>
      <c r="S51">
        <f>B51*SUMPRODUCT(C51:R51, C$101:R$101)</f>
        <v>1004.416827866719</v>
      </c>
    </row>
    <row r="52" spans="1:19" x14ac:dyDescent="0.25">
      <c r="A52">
        <v>50</v>
      </c>
      <c r="B52">
        <v>0.17314782928661199</v>
      </c>
      <c r="C52" s="1"/>
      <c r="D52" s="2"/>
      <c r="E52" s="3"/>
      <c r="F52" s="4"/>
      <c r="G52" s="5"/>
      <c r="H52" s="6"/>
      <c r="I52" s="7"/>
      <c r="J52" s="8"/>
      <c r="K52" s="9"/>
      <c r="L52" s="10"/>
      <c r="M52" s="11"/>
      <c r="N52" s="12"/>
      <c r="O52" s="13"/>
      <c r="P52" s="14"/>
      <c r="Q52" s="15">
        <v>0.34</v>
      </c>
      <c r="R52" s="16">
        <v>0.66</v>
      </c>
      <c r="S52">
        <f>B52*SUMPRODUCT(C52:R52, C$101:R$101)</f>
        <v>571.98896132699963</v>
      </c>
    </row>
    <row r="53" spans="1:19" x14ac:dyDescent="0.25">
      <c r="A53">
        <v>51</v>
      </c>
      <c r="B53">
        <v>0.27707158803757098</v>
      </c>
      <c r="C53" s="1"/>
      <c r="D53" s="2"/>
      <c r="E53" s="3">
        <v>0.6</v>
      </c>
      <c r="F53" s="4"/>
      <c r="G53" s="5"/>
      <c r="H53" s="6"/>
      <c r="I53" s="7"/>
      <c r="J53" s="8"/>
      <c r="K53" s="9">
        <v>0.1</v>
      </c>
      <c r="L53" s="10">
        <v>0.3</v>
      </c>
      <c r="M53" s="11"/>
      <c r="N53" s="12"/>
      <c r="O53" s="13"/>
      <c r="P53" s="14"/>
      <c r="Q53" s="15"/>
      <c r="R53" s="16"/>
      <c r="S53">
        <f>B53*SUMPRODUCT(C53:R53, C$101:R$101)</f>
        <v>1970.4021904370379</v>
      </c>
    </row>
    <row r="54" spans="1:19" x14ac:dyDescent="0.25">
      <c r="A54">
        <v>52</v>
      </c>
      <c r="B54">
        <v>0.10408575118702799</v>
      </c>
      <c r="C54" s="1"/>
      <c r="D54" s="2">
        <v>1</v>
      </c>
      <c r="E54" s="3"/>
      <c r="F54" s="4"/>
      <c r="G54" s="5"/>
      <c r="H54" s="6"/>
      <c r="I54" s="7"/>
      <c r="J54" s="8"/>
      <c r="K54" s="9"/>
      <c r="L54" s="10"/>
      <c r="M54" s="11"/>
      <c r="N54" s="12"/>
      <c r="O54" s="13"/>
      <c r="P54" s="14"/>
      <c r="Q54" s="15"/>
      <c r="R54" s="16"/>
      <c r="S54">
        <f>B54*SUMPRODUCT(C54:R54, C$101:R$101)</f>
        <v>1514.4031404374668</v>
      </c>
    </row>
    <row r="55" spans="1:19" x14ac:dyDescent="0.25">
      <c r="A55">
        <v>53</v>
      </c>
      <c r="B55">
        <v>0.17508192236139999</v>
      </c>
      <c r="C55" s="1"/>
      <c r="D55" s="2">
        <v>0.5</v>
      </c>
      <c r="E55" s="3"/>
      <c r="F55" s="4"/>
      <c r="G55" s="5">
        <v>0.5</v>
      </c>
      <c r="H55" s="6"/>
      <c r="I55" s="7"/>
      <c r="J55" s="8"/>
      <c r="K55" s="9"/>
      <c r="L55" s="10"/>
      <c r="M55" s="11"/>
      <c r="N55" s="12"/>
      <c r="O55" s="13"/>
      <c r="P55" s="14"/>
      <c r="Q55" s="15"/>
      <c r="R55" s="16"/>
      <c r="S55">
        <f>B55*SUMPRODUCT(C55:R55, C$101:R$101)</f>
        <v>2062.4328733261896</v>
      </c>
    </row>
    <row r="56" spans="1:19" x14ac:dyDescent="0.25">
      <c r="A56">
        <v>54</v>
      </c>
      <c r="B56">
        <v>0.14217253103952701</v>
      </c>
      <c r="C56" s="1">
        <v>0.66</v>
      </c>
      <c r="D56" s="2">
        <v>0.34</v>
      </c>
      <c r="E56" s="3"/>
      <c r="F56" s="4"/>
      <c r="G56" s="5"/>
      <c r="H56" s="6"/>
      <c r="I56" s="7"/>
      <c r="J56" s="8"/>
      <c r="K56" s="9"/>
      <c r="L56" s="10"/>
      <c r="M56" s="11"/>
      <c r="N56" s="12"/>
      <c r="O56" s="13"/>
      <c r="P56" s="14"/>
      <c r="Q56" s="15"/>
      <c r="R56" s="16"/>
      <c r="S56">
        <f>B56*SUMPRODUCT(C56:R56, C$101:R$101)</f>
        <v>1949.3944496766999</v>
      </c>
    </row>
    <row r="57" spans="1:19" x14ac:dyDescent="0.25">
      <c r="A57">
        <v>55</v>
      </c>
      <c r="B57">
        <v>0.20657264569082601</v>
      </c>
      <c r="C57" s="1"/>
      <c r="D57" s="2">
        <v>0.34</v>
      </c>
      <c r="E57" s="3"/>
      <c r="F57" s="4"/>
      <c r="G57" s="5"/>
      <c r="H57" s="6">
        <v>0.66</v>
      </c>
      <c r="I57" s="7"/>
      <c r="J57" s="8"/>
      <c r="K57" s="9"/>
      <c r="L57" s="10"/>
      <c r="M57" s="11"/>
      <c r="N57" s="12"/>
      <c r="O57" s="13"/>
      <c r="P57" s="14"/>
      <c r="Q57" s="15"/>
      <c r="R57" s="16"/>
      <c r="S57">
        <f>B57*SUMPRODUCT(C57:R57, C$101:R$101)</f>
        <v>2376.6537740525464</v>
      </c>
    </row>
    <row r="58" spans="1:19" x14ac:dyDescent="0.25">
      <c r="A58">
        <v>56</v>
      </c>
      <c r="B58">
        <v>0.12301645167014599</v>
      </c>
      <c r="C58" s="1"/>
      <c r="D58" s="2">
        <v>0.9</v>
      </c>
      <c r="E58" s="3"/>
      <c r="F58" s="4"/>
      <c r="G58" s="5"/>
      <c r="H58" s="6">
        <v>0.1</v>
      </c>
      <c r="I58" s="7"/>
      <c r="J58" s="8"/>
      <c r="K58" s="9"/>
      <c r="L58" s="10"/>
      <c r="M58" s="11"/>
      <c r="N58" s="12"/>
      <c r="O58" s="13"/>
      <c r="P58" s="14"/>
      <c r="Q58" s="15"/>
      <c r="R58" s="16"/>
      <c r="S58">
        <f>B58*SUMPRODUCT(C58:R58, C$101:R$101)</f>
        <v>1733.0925919212648</v>
      </c>
    </row>
    <row r="59" spans="1:19" x14ac:dyDescent="0.25">
      <c r="A59">
        <v>57</v>
      </c>
      <c r="B59">
        <v>0.203200290977925</v>
      </c>
      <c r="C59" s="1"/>
      <c r="D59" s="2"/>
      <c r="E59" s="3"/>
      <c r="F59" s="4"/>
      <c r="G59" s="5"/>
      <c r="H59" s="6"/>
      <c r="I59" s="7"/>
      <c r="J59" s="8"/>
      <c r="K59" s="9">
        <v>0.5</v>
      </c>
      <c r="L59" s="10"/>
      <c r="M59" s="11"/>
      <c r="N59" s="12">
        <v>0.4</v>
      </c>
      <c r="O59" s="13"/>
      <c r="P59" s="14">
        <v>0.1</v>
      </c>
      <c r="Q59" s="15"/>
      <c r="R59" s="16"/>
      <c r="S59">
        <f>B59*SUMPRODUCT(C59:R59, C$101:R$101)</f>
        <v>1701.685027385274</v>
      </c>
    </row>
    <row r="60" spans="1:19" x14ac:dyDescent="0.25">
      <c r="A60">
        <v>58</v>
      </c>
      <c r="B60">
        <v>0.18756676606388101</v>
      </c>
      <c r="C60" s="1"/>
      <c r="D60" s="2"/>
      <c r="E60" s="3"/>
      <c r="F60" s="4"/>
      <c r="G60" s="5"/>
      <c r="H60" s="6"/>
      <c r="I60" s="7"/>
      <c r="J60" s="8"/>
      <c r="K60" s="9"/>
      <c r="L60" s="10"/>
      <c r="M60" s="11"/>
      <c r="N60" s="12"/>
      <c r="O60" s="13">
        <v>0.1</v>
      </c>
      <c r="P60" s="14">
        <v>0.9</v>
      </c>
      <c r="Q60" s="15"/>
      <c r="R60" s="16"/>
      <c r="S60">
        <f>B60*SUMPRODUCT(C60:R60, C$101:R$101)</f>
        <v>1295.2731609570262</v>
      </c>
    </row>
    <row r="61" spans="1:19" x14ac:dyDescent="0.25">
      <c r="A61">
        <v>59</v>
      </c>
      <c r="B61">
        <v>6.6005686096886507E-2</v>
      </c>
      <c r="C61" s="1">
        <v>0.5</v>
      </c>
      <c r="D61" s="2">
        <v>0.5</v>
      </c>
      <c r="E61" s="3"/>
      <c r="F61" s="4"/>
      <c r="G61" s="5"/>
      <c r="H61" s="6"/>
      <c r="I61" s="7"/>
      <c r="J61" s="8"/>
      <c r="K61" s="9"/>
      <c r="L61" s="10"/>
      <c r="M61" s="11"/>
      <c r="N61" s="12"/>
      <c r="O61" s="13"/>
      <c r="P61" s="14"/>
      <c r="Q61" s="15"/>
      <c r="R61" s="16"/>
      <c r="S61">
        <f>B61*SUMPRODUCT(C61:R61, C$101:R$101)</f>
        <v>918.44579298848168</v>
      </c>
    </row>
    <row r="62" spans="1:19" x14ac:dyDescent="0.25">
      <c r="A62">
        <v>60</v>
      </c>
      <c r="B62">
        <v>8.2991725472851302E-2</v>
      </c>
      <c r="C62" s="1"/>
      <c r="D62" s="2">
        <v>1</v>
      </c>
      <c r="E62" s="3"/>
      <c r="F62" s="4"/>
      <c r="G62" s="5"/>
      <c r="H62" s="6"/>
      <c r="I62" s="7"/>
      <c r="J62" s="8"/>
      <c r="K62" s="9"/>
      <c r="L62" s="10"/>
      <c r="M62" s="11"/>
      <c r="N62" s="12"/>
      <c r="O62" s="13"/>
      <c r="P62" s="14"/>
      <c r="Q62" s="15"/>
      <c r="R62" s="16"/>
      <c r="S62">
        <f>B62*SUMPRODUCT(C62:R62, C$101:R$101)</f>
        <v>1207.4940926407394</v>
      </c>
    </row>
    <row r="63" spans="1:19" x14ac:dyDescent="0.25">
      <c r="A63">
        <v>61</v>
      </c>
      <c r="B63">
        <v>6.6274352672138506E-2</v>
      </c>
      <c r="C63" s="1">
        <v>0.66</v>
      </c>
      <c r="D63" s="2">
        <v>0.34</v>
      </c>
      <c r="E63" s="3"/>
      <c r="F63" s="4"/>
      <c r="G63" s="5"/>
      <c r="H63" s="6"/>
      <c r="I63" s="7"/>
      <c r="J63" s="8"/>
      <c r="K63" s="9"/>
      <c r="L63" s="10"/>
      <c r="M63" s="11"/>
      <c r="N63" s="12"/>
      <c r="O63" s="13"/>
      <c r="P63" s="14"/>
      <c r="Q63" s="15"/>
      <c r="R63" s="16"/>
      <c r="S63">
        <f>B63*SUMPRODUCT(C63:R63, C$101:R$101)</f>
        <v>908.71882430695439</v>
      </c>
    </row>
    <row r="64" spans="1:19" x14ac:dyDescent="0.25">
      <c r="A64">
        <v>62</v>
      </c>
      <c r="B64">
        <v>0.11458476489563101</v>
      </c>
      <c r="C64" s="1">
        <v>0.5</v>
      </c>
      <c r="D64" s="2">
        <v>0.34</v>
      </c>
      <c r="E64" s="3">
        <v>0.16</v>
      </c>
      <c r="F64" s="4"/>
      <c r="G64" s="5"/>
      <c r="H64" s="6"/>
      <c r="I64" s="7"/>
      <c r="J64" s="8"/>
      <c r="K64" s="9"/>
      <c r="L64" s="10"/>
      <c r="M64" s="11"/>
      <c r="N64" s="12"/>
      <c r="O64" s="13"/>
      <c r="P64" s="14"/>
      <c r="Q64" s="15"/>
      <c r="R64" s="16"/>
      <c r="S64">
        <f>B64*SUMPRODUCT(C64:R64, C$101:R$101)</f>
        <v>1514.2663366539339</v>
      </c>
    </row>
    <row r="65" spans="1:19" x14ac:dyDescent="0.25">
      <c r="A65">
        <v>63</v>
      </c>
      <c r="B65">
        <v>0.104515681124887</v>
      </c>
      <c r="C65" s="1"/>
      <c r="D65" s="2"/>
      <c r="E65" s="3">
        <v>1</v>
      </c>
      <c r="F65" s="4"/>
      <c r="G65" s="5"/>
      <c r="H65" s="6"/>
      <c r="I65" s="7"/>
      <c r="J65" s="8"/>
      <c r="K65" s="9"/>
      <c r="L65" s="10"/>
      <c r="M65" s="11"/>
      <c r="N65" s="12"/>
      <c r="O65" s="13"/>
      <c r="P65" s="14"/>
      <c r="Q65" s="15"/>
      <c r="R65" s="16"/>
      <c r="S65">
        <f>B65*SUMPRODUCT(C65:R65, C$101:R$101)</f>
        <v>1063.7966405411087</v>
      </c>
    </row>
    <row r="66" spans="1:19" x14ac:dyDescent="0.25">
      <c r="A66">
        <v>64</v>
      </c>
      <c r="B66">
        <v>0.11994625288791499</v>
      </c>
      <c r="C66" s="1"/>
      <c r="D66" s="2"/>
      <c r="E66" s="3"/>
      <c r="F66" s="4"/>
      <c r="G66" s="5"/>
      <c r="H66" s="6"/>
      <c r="I66" s="7"/>
      <c r="J66" s="8"/>
      <c r="K66" s="9"/>
      <c r="L66" s="10"/>
      <c r="M66" s="11"/>
      <c r="N66" s="12">
        <v>1</v>
      </c>
      <c r="O66" s="13"/>
      <c r="P66" s="14"/>
      <c r="Q66" s="15"/>
      <c r="R66" s="16"/>
      <c r="S66">
        <f>B66*SUMPRODUCT(C66:R66, C$101:R$101)</f>
        <v>887.06851522312354</v>
      </c>
    </row>
    <row r="67" spans="1:19" x14ac:dyDescent="0.25">
      <c r="A67">
        <v>65</v>
      </c>
      <c r="B67">
        <v>9.5204871067224403E-2</v>
      </c>
      <c r="C67" s="1"/>
      <c r="D67" s="2"/>
      <c r="E67" s="3"/>
      <c r="F67" s="4"/>
      <c r="G67" s="5"/>
      <c r="H67" s="6"/>
      <c r="I67" s="7"/>
      <c r="J67" s="8"/>
      <c r="K67" s="9">
        <v>0.1</v>
      </c>
      <c r="L67" s="10"/>
      <c r="M67" s="11"/>
      <c r="N67" s="12">
        <v>0.9</v>
      </c>
      <c r="O67" s="13"/>
      <c r="P67" s="14"/>
      <c r="Q67" s="15"/>
      <c r="R67" s="16"/>
      <c r="S67">
        <f>B67*SUMPRODUCT(C67:R67, C$101:R$101)</f>
        <v>723.5742709955307</v>
      </c>
    </row>
    <row r="68" spans="1:19" x14ac:dyDescent="0.25">
      <c r="A68">
        <v>66</v>
      </c>
      <c r="B68">
        <v>0.17767243764784199</v>
      </c>
      <c r="C68" s="1"/>
      <c r="D68" s="2"/>
      <c r="E68" s="3"/>
      <c r="F68" s="4"/>
      <c r="G68" s="5"/>
      <c r="H68" s="6"/>
      <c r="I68" s="7"/>
      <c r="J68" s="8"/>
      <c r="K68" s="9">
        <v>0.85</v>
      </c>
      <c r="L68" s="10"/>
      <c r="M68" s="11"/>
      <c r="N68" s="12">
        <v>0.15</v>
      </c>
      <c r="O68" s="13"/>
      <c r="P68" s="14"/>
      <c r="Q68" s="15"/>
      <c r="R68" s="16"/>
      <c r="S68">
        <f>B68*SUMPRODUCT(C68:R68, C$101:R$101)</f>
        <v>1623.0225955455965</v>
      </c>
    </row>
    <row r="69" spans="1:19" x14ac:dyDescent="0.25">
      <c r="A69">
        <v>67</v>
      </c>
      <c r="B69">
        <v>0.204765947267084</v>
      </c>
      <c r="C69" s="1"/>
      <c r="D69" s="2"/>
      <c r="E69" s="3"/>
      <c r="F69" s="4"/>
      <c r="G69" s="5"/>
      <c r="H69" s="6"/>
      <c r="I69" s="7"/>
      <c r="J69" s="8"/>
      <c r="K69" s="9"/>
      <c r="L69" s="10"/>
      <c r="M69" s="11"/>
      <c r="N69" s="12"/>
      <c r="O69" s="13">
        <v>1</v>
      </c>
      <c r="P69" s="14"/>
      <c r="Q69" s="15"/>
      <c r="R69" s="16"/>
      <c r="S69">
        <f>B69*SUMPRODUCT(C69:R69, C$101:R$101)</f>
        <v>1327.3382958725122</v>
      </c>
    </row>
    <row r="70" spans="1:19" x14ac:dyDescent="0.25">
      <c r="A70">
        <v>68</v>
      </c>
      <c r="B70">
        <v>8.8465752672991699E-2</v>
      </c>
      <c r="C70" s="1"/>
      <c r="D70" s="2"/>
      <c r="E70" s="3"/>
      <c r="F70" s="4"/>
      <c r="G70" s="5"/>
      <c r="H70" s="6"/>
      <c r="I70" s="7"/>
      <c r="J70" s="8"/>
      <c r="K70" s="9"/>
      <c r="L70" s="10"/>
      <c r="M70" s="11"/>
      <c r="N70" s="12"/>
      <c r="O70" s="13"/>
      <c r="P70" s="14">
        <v>1</v>
      </c>
      <c r="Q70" s="15"/>
      <c r="R70" s="16"/>
      <c r="S70">
        <f>B70*SUMPRODUCT(C70:R70, C$101:R$101)</f>
        <v>615.07705085571831</v>
      </c>
    </row>
    <row r="71" spans="1:19" x14ac:dyDescent="0.25">
      <c r="A71">
        <v>69</v>
      </c>
      <c r="B71">
        <v>0.16869179246331301</v>
      </c>
      <c r="C71" s="1"/>
      <c r="D71" s="2"/>
      <c r="E71" s="3"/>
      <c r="F71" s="4"/>
      <c r="G71" s="5"/>
      <c r="H71" s="6"/>
      <c r="I71" s="7"/>
      <c r="J71" s="8"/>
      <c r="K71" s="9"/>
      <c r="L71" s="10"/>
      <c r="M71" s="11"/>
      <c r="N71" s="12"/>
      <c r="O71" s="13"/>
      <c r="P71" s="14">
        <v>1</v>
      </c>
      <c r="Q71" s="15"/>
      <c r="R71" s="16"/>
      <c r="S71">
        <f>B71*SUMPRODUCT(C71:R71, C$101:R$101)</f>
        <v>1172.8657370433086</v>
      </c>
    </row>
    <row r="72" spans="1:19" x14ac:dyDescent="0.25">
      <c r="A72">
        <v>70</v>
      </c>
      <c r="B72">
        <v>0.12883349214716899</v>
      </c>
      <c r="C72" s="1"/>
      <c r="D72" s="2"/>
      <c r="E72" s="3"/>
      <c r="F72" s="4"/>
      <c r="G72" s="5"/>
      <c r="H72" s="6"/>
      <c r="I72" s="7"/>
      <c r="J72" s="8"/>
      <c r="K72" s="9"/>
      <c r="L72" s="10"/>
      <c r="M72" s="11"/>
      <c r="N72" s="12"/>
      <c r="O72" s="13"/>
      <c r="P72" s="14">
        <v>1</v>
      </c>
      <c r="Q72" s="15"/>
      <c r="R72" s="16"/>
      <c r="S72">
        <f>B72*SUMPRODUCT(C72:R72, C$101:R$101)</f>
        <v>895.74238625696478</v>
      </c>
    </row>
    <row r="73" spans="1:19" x14ac:dyDescent="0.25">
      <c r="A73">
        <v>71</v>
      </c>
      <c r="B73">
        <v>4.5278920911606201E-2</v>
      </c>
      <c r="C73" s="1"/>
      <c r="D73" s="2"/>
      <c r="E73" s="3"/>
      <c r="F73" s="4"/>
      <c r="G73" s="5"/>
      <c r="H73" s="6"/>
      <c r="I73" s="7"/>
      <c r="J73" s="8"/>
      <c r="K73" s="9"/>
      <c r="L73" s="10"/>
      <c r="M73" s="11"/>
      <c r="N73" s="12"/>
      <c r="O73" s="13"/>
      <c r="P73" s="14"/>
      <c r="Q73" s="15">
        <v>1</v>
      </c>
      <c r="R73" s="16"/>
      <c r="S73">
        <f>B73*SUMPRODUCT(C73:R73, C$101:R$101)</f>
        <v>147.11802227091465</v>
      </c>
    </row>
    <row r="74" spans="1:19" x14ac:dyDescent="0.25">
      <c r="A74">
        <v>72</v>
      </c>
      <c r="B74">
        <v>0.23504967491259801</v>
      </c>
      <c r="C74" s="1"/>
      <c r="D74" s="2"/>
      <c r="E74" s="3"/>
      <c r="F74" s="4"/>
      <c r="G74" s="5"/>
      <c r="H74" s="6"/>
      <c r="I74" s="7"/>
      <c r="J74" s="8"/>
      <c r="K74" s="9"/>
      <c r="L74" s="10"/>
      <c r="M74" s="11"/>
      <c r="N74" s="12"/>
      <c r="O74" s="13"/>
      <c r="P74" s="14">
        <v>0.3</v>
      </c>
      <c r="Q74" s="15">
        <v>0.7</v>
      </c>
      <c r="R74" s="16"/>
      <c r="S74">
        <f>B74*SUMPRODUCT(C74:R74, C$101:R$101)</f>
        <v>1024.8681441263295</v>
      </c>
    </row>
    <row r="75" spans="1:19" x14ac:dyDescent="0.25">
      <c r="A75">
        <v>73</v>
      </c>
      <c r="B75">
        <v>9.1833953683220601E-2</v>
      </c>
      <c r="C75" s="1"/>
      <c r="D75" s="2"/>
      <c r="E75" s="3"/>
      <c r="F75" s="4"/>
      <c r="G75" s="5"/>
      <c r="H75" s="6"/>
      <c r="I75" s="7"/>
      <c r="J75" s="8"/>
      <c r="K75" s="9"/>
      <c r="L75" s="10"/>
      <c r="M75" s="11"/>
      <c r="N75" s="12"/>
      <c r="O75" s="13"/>
      <c r="P75" s="14">
        <v>0.2</v>
      </c>
      <c r="Q75" s="15">
        <v>0.8</v>
      </c>
      <c r="R75" s="16"/>
      <c r="S75">
        <f>B75*SUMPRODUCT(C75:R75, C$101:R$101)</f>
        <v>366.40489671778101</v>
      </c>
    </row>
    <row r="76" spans="1:19" x14ac:dyDescent="0.25">
      <c r="A76">
        <v>74</v>
      </c>
      <c r="B76">
        <v>5.9135606674335102E-2</v>
      </c>
      <c r="C76" s="1"/>
      <c r="D76" s="2"/>
      <c r="E76" s="3"/>
      <c r="F76" s="4"/>
      <c r="G76" s="5"/>
      <c r="H76" s="6"/>
      <c r="I76" s="7"/>
      <c r="J76" s="8"/>
      <c r="K76" s="9"/>
      <c r="L76" s="10"/>
      <c r="M76" s="11"/>
      <c r="N76" s="12"/>
      <c r="O76" s="13"/>
      <c r="P76" s="14">
        <v>0.8</v>
      </c>
      <c r="Q76" s="15">
        <v>0.2</v>
      </c>
      <c r="R76" s="16"/>
      <c r="S76">
        <f>B76*SUMPRODUCT(C76:R76, C$101:R$101)</f>
        <v>367.35044985449548</v>
      </c>
    </row>
    <row r="77" spans="1:19" x14ac:dyDescent="0.25">
      <c r="A77">
        <v>75</v>
      </c>
      <c r="B77">
        <v>8.6984009925195893E-2</v>
      </c>
      <c r="C77" s="1"/>
      <c r="D77" s="2"/>
      <c r="E77" s="3"/>
      <c r="F77" s="4"/>
      <c r="G77" s="5"/>
      <c r="H77" s="6"/>
      <c r="I77" s="7"/>
      <c r="J77" s="8"/>
      <c r="K77" s="9"/>
      <c r="L77" s="10"/>
      <c r="M77" s="11"/>
      <c r="N77" s="12"/>
      <c r="O77" s="13"/>
      <c r="P77" s="14">
        <v>1</v>
      </c>
      <c r="Q77" s="15"/>
      <c r="R77" s="16"/>
      <c r="S77">
        <f>B77*SUMPRODUCT(C77:R77, C$101:R$101)</f>
        <v>604.77491774879752</v>
      </c>
    </row>
    <row r="78" spans="1:19" x14ac:dyDescent="0.25">
      <c r="A78">
        <v>76</v>
      </c>
      <c r="B78">
        <v>0.14842762344149499</v>
      </c>
      <c r="C78" s="1"/>
      <c r="D78" s="2"/>
      <c r="E78" s="3"/>
      <c r="F78" s="4"/>
      <c r="G78" s="5"/>
      <c r="H78" s="6"/>
      <c r="I78" s="7"/>
      <c r="J78" s="8"/>
      <c r="K78" s="9"/>
      <c r="L78" s="10"/>
      <c r="M78" s="11"/>
      <c r="N78" s="12"/>
      <c r="O78" s="13"/>
      <c r="P78" s="14">
        <v>0.66</v>
      </c>
      <c r="Q78" s="15">
        <v>0.34</v>
      </c>
      <c r="R78" s="16"/>
      <c r="S78">
        <f>B78*SUMPRODUCT(C78:R78, C$101:R$101)</f>
        <v>845.07299571571752</v>
      </c>
    </row>
    <row r="79" spans="1:19" x14ac:dyDescent="0.25">
      <c r="A79">
        <v>77</v>
      </c>
      <c r="B79">
        <v>7.8729776862530798E-2</v>
      </c>
      <c r="C79" s="1"/>
      <c r="D79" s="2"/>
      <c r="E79" s="3"/>
      <c r="F79" s="4"/>
      <c r="G79" s="5"/>
      <c r="H79" s="6"/>
      <c r="I79" s="7"/>
      <c r="J79" s="8"/>
      <c r="K79" s="9"/>
      <c r="L79" s="10"/>
      <c r="M79" s="11"/>
      <c r="N79" s="12"/>
      <c r="O79" s="13"/>
      <c r="P79" s="14"/>
      <c r="Q79" s="15">
        <v>1</v>
      </c>
      <c r="R79" s="16"/>
      <c r="S79">
        <f>B79*SUMPRODUCT(C79:R79, C$101:R$101)</f>
        <v>255.80488299307115</v>
      </c>
    </row>
    <row r="80" spans="1:19" x14ac:dyDescent="0.25">
      <c r="A80">
        <v>78</v>
      </c>
      <c r="B80">
        <v>9.6605811574654796E-2</v>
      </c>
      <c r="C80" s="1"/>
      <c r="D80" s="2"/>
      <c r="E80" s="3"/>
      <c r="F80" s="4"/>
      <c r="G80" s="5"/>
      <c r="H80" s="6"/>
      <c r="I80" s="7"/>
      <c r="J80" s="8"/>
      <c r="K80" s="9"/>
      <c r="L80" s="10"/>
      <c r="M80" s="11"/>
      <c r="N80" s="12"/>
      <c r="O80" s="13"/>
      <c r="P80" s="14"/>
      <c r="Q80" s="15">
        <v>1</v>
      </c>
      <c r="R80" s="16"/>
      <c r="S80">
        <f>B80*SUMPRODUCT(C80:R80, C$101:R$101)</f>
        <v>313.88680764909338</v>
      </c>
    </row>
    <row r="81" spans="1:19" x14ac:dyDescent="0.25">
      <c r="A81">
        <v>79</v>
      </c>
      <c r="B81">
        <v>0.112654667999866</v>
      </c>
      <c r="C81" s="1"/>
      <c r="D81" s="2"/>
      <c r="E81" s="3"/>
      <c r="F81" s="4"/>
      <c r="G81" s="5"/>
      <c r="H81" s="6"/>
      <c r="I81" s="7"/>
      <c r="J81" s="8"/>
      <c r="K81" s="9"/>
      <c r="L81" s="10"/>
      <c r="M81" s="11"/>
      <c r="N81" s="12"/>
      <c r="O81" s="13"/>
      <c r="P81" s="14">
        <v>0.34</v>
      </c>
      <c r="Q81" s="15">
        <v>0.66</v>
      </c>
      <c r="R81" s="16"/>
      <c r="S81">
        <f>B81*SUMPRODUCT(C81:R81, C$101:R$101)</f>
        <v>507.88801283567642</v>
      </c>
    </row>
    <row r="82" spans="1:19" x14ac:dyDescent="0.25">
      <c r="A82">
        <v>80</v>
      </c>
      <c r="B82">
        <v>0.19960537321895799</v>
      </c>
      <c r="C82" s="1"/>
      <c r="D82" s="2"/>
      <c r="E82" s="3"/>
      <c r="F82" s="4"/>
      <c r="G82" s="5"/>
      <c r="H82" s="6"/>
      <c r="I82" s="7"/>
      <c r="J82" s="8"/>
      <c r="K82" s="9"/>
      <c r="L82" s="10"/>
      <c r="M82" s="11"/>
      <c r="N82" s="12"/>
      <c r="O82" s="13"/>
      <c r="P82" s="14"/>
      <c r="Q82" s="15">
        <v>1</v>
      </c>
      <c r="R82" s="16"/>
      <c r="S82">
        <f>B82*SUMPRODUCT(C82:R82, C$101:R$101)</f>
        <v>648.54787065152243</v>
      </c>
    </row>
    <row r="83" spans="1:19" x14ac:dyDescent="0.25">
      <c r="A83">
        <v>81</v>
      </c>
      <c r="B83">
        <v>0.130361848957605</v>
      </c>
      <c r="C83" s="1"/>
      <c r="D83" s="2"/>
      <c r="E83" s="3"/>
      <c r="F83" s="4"/>
      <c r="G83" s="5"/>
      <c r="H83" s="6"/>
      <c r="I83" s="7"/>
      <c r="J83" s="8"/>
      <c r="K83" s="9"/>
      <c r="L83" s="10"/>
      <c r="M83" s="11"/>
      <c r="N83" s="12"/>
      <c r="O83" s="13"/>
      <c r="P83" s="14">
        <v>0.7</v>
      </c>
      <c r="Q83" s="15">
        <v>0.3</v>
      </c>
      <c r="R83" s="16"/>
      <c r="S83">
        <f>B83*SUMPRODUCT(C83:R83, C$101:R$101)</f>
        <v>761.52760413664703</v>
      </c>
    </row>
    <row r="84" spans="1:19" x14ac:dyDescent="0.25">
      <c r="A84">
        <v>82</v>
      </c>
      <c r="B84">
        <v>0.116607194756724</v>
      </c>
      <c r="C84" s="1"/>
      <c r="D84" s="2"/>
      <c r="E84" s="3"/>
      <c r="F84" s="4"/>
      <c r="G84" s="5"/>
      <c r="H84" s="6"/>
      <c r="I84" s="7"/>
      <c r="J84" s="8"/>
      <c r="K84" s="9"/>
      <c r="L84" s="10"/>
      <c r="M84" s="11"/>
      <c r="N84" s="12"/>
      <c r="O84" s="13"/>
      <c r="P84" s="14">
        <v>1</v>
      </c>
      <c r="Q84" s="15"/>
      <c r="R84" s="16"/>
      <c r="S84">
        <f>B84*SUMPRODUCT(C84:R84, C$101:R$101)</f>
        <v>810.73644085346473</v>
      </c>
    </row>
    <row r="85" spans="1:19" x14ac:dyDescent="0.25">
      <c r="A85">
        <v>83</v>
      </c>
      <c r="B85">
        <v>0.102339337120326</v>
      </c>
      <c r="C85" s="1"/>
      <c r="D85" s="2"/>
      <c r="E85" s="3"/>
      <c r="F85" s="4"/>
      <c r="G85" s="5"/>
      <c r="H85" s="6"/>
      <c r="I85" s="7"/>
      <c r="J85" s="8"/>
      <c r="K85" s="9"/>
      <c r="L85" s="10"/>
      <c r="M85" s="11"/>
      <c r="N85" s="12"/>
      <c r="O85" s="13"/>
      <c r="P85" s="14">
        <v>0.1</v>
      </c>
      <c r="Q85" s="15">
        <v>0.9</v>
      </c>
      <c r="R85" s="16"/>
      <c r="S85">
        <f>B85*SUMPRODUCT(C85:R85, C$101:R$101)</f>
        <v>370.41791598145522</v>
      </c>
    </row>
    <row r="86" spans="1:19" x14ac:dyDescent="0.25">
      <c r="A86">
        <v>84</v>
      </c>
      <c r="B86">
        <v>0.16552748382364499</v>
      </c>
      <c r="C86" s="1"/>
      <c r="D86" s="2"/>
      <c r="E86" s="3"/>
      <c r="F86" s="4"/>
      <c r="G86" s="5"/>
      <c r="H86" s="6"/>
      <c r="I86" s="7"/>
      <c r="J86" s="8"/>
      <c r="K86" s="9">
        <v>0.7</v>
      </c>
      <c r="L86" s="10"/>
      <c r="M86" s="11"/>
      <c r="N86" s="12"/>
      <c r="O86" s="13"/>
      <c r="P86" s="14">
        <v>0.3</v>
      </c>
      <c r="Q86" s="15"/>
      <c r="R86" s="16"/>
      <c r="S86">
        <f>B86*SUMPRODUCT(C86:R86, C$101:R$101)</f>
        <v>1439.2808795633582</v>
      </c>
    </row>
    <row r="87" spans="1:19" x14ac:dyDescent="0.25">
      <c r="A87">
        <v>85</v>
      </c>
      <c r="B87">
        <v>0.142884287786301</v>
      </c>
      <c r="C87" s="1"/>
      <c r="D87" s="2"/>
      <c r="E87" s="3"/>
      <c r="F87" s="4"/>
      <c r="G87" s="5"/>
      <c r="H87" s="6"/>
      <c r="I87" s="7"/>
      <c r="J87" s="8"/>
      <c r="K87" s="9"/>
      <c r="L87" s="10"/>
      <c r="M87" s="11"/>
      <c r="N87" s="12"/>
      <c r="O87" s="13"/>
      <c r="P87" s="14"/>
      <c r="Q87" s="15">
        <v>1</v>
      </c>
      <c r="R87" s="16"/>
      <c r="S87">
        <f>B87*SUMPRODUCT(C87:R87, C$101:R$101)</f>
        <v>464.25253538497202</v>
      </c>
    </row>
    <row r="88" spans="1:19" x14ac:dyDescent="0.25">
      <c r="A88">
        <v>86</v>
      </c>
      <c r="B88">
        <v>0.116480609696576</v>
      </c>
      <c r="C88" s="1"/>
      <c r="D88" s="2"/>
      <c r="E88" s="3"/>
      <c r="F88" s="4"/>
      <c r="G88" s="5"/>
      <c r="H88" s="6"/>
      <c r="I88" s="7"/>
      <c r="J88" s="8"/>
      <c r="K88" s="9">
        <v>0.5</v>
      </c>
      <c r="L88" s="10"/>
      <c r="M88" s="11"/>
      <c r="N88" s="12"/>
      <c r="O88" s="13"/>
      <c r="P88" s="14">
        <v>0.5</v>
      </c>
      <c r="Q88" s="15"/>
      <c r="R88" s="16"/>
      <c r="S88">
        <f>B88*SUMPRODUCT(C88:R88, C$101:R$101)</f>
        <v>954.82506490270089</v>
      </c>
    </row>
    <row r="89" spans="1:19" x14ac:dyDescent="0.25">
      <c r="A89">
        <v>87</v>
      </c>
      <c r="B89">
        <v>0.158825892547064</v>
      </c>
      <c r="C89" s="1"/>
      <c r="D89" s="2"/>
      <c r="E89" s="3"/>
      <c r="F89" s="4"/>
      <c r="G89" s="5"/>
      <c r="H89" s="6"/>
      <c r="I89" s="7"/>
      <c r="J89" s="8"/>
      <c r="K89" s="9"/>
      <c r="L89" s="10"/>
      <c r="M89" s="11"/>
      <c r="N89" s="12"/>
      <c r="O89" s="13"/>
      <c r="P89" s="14"/>
      <c r="Q89" s="15">
        <v>0.8</v>
      </c>
      <c r="R89" s="16">
        <v>0.2</v>
      </c>
      <c r="S89">
        <f>B89*SUMPRODUCT(C89:R89, C$101:R$101)</f>
        <v>518.66364315683518</v>
      </c>
    </row>
    <row r="90" spans="1:19" x14ac:dyDescent="0.25">
      <c r="A90">
        <v>88</v>
      </c>
      <c r="B90">
        <v>0</v>
      </c>
      <c r="C90" s="1"/>
      <c r="D90" s="2"/>
      <c r="E90" s="3"/>
      <c r="F90" s="4"/>
      <c r="G90" s="5"/>
      <c r="H90" s="6"/>
      <c r="I90" s="7"/>
      <c r="J90" s="8"/>
      <c r="K90" s="9"/>
      <c r="L90" s="10"/>
      <c r="M90" s="11"/>
      <c r="N90" s="12"/>
      <c r="O90" s="13"/>
      <c r="P90" s="14"/>
      <c r="Q90" s="15"/>
      <c r="R90" s="16"/>
      <c r="S90">
        <f>B90*SUMPRODUCT(C90:R90, C$101:R$101)</f>
        <v>0</v>
      </c>
    </row>
    <row r="91" spans="1:19" x14ac:dyDescent="0.25">
      <c r="A91">
        <v>89</v>
      </c>
      <c r="B91">
        <v>0.27198453295609498</v>
      </c>
      <c r="C91" s="1"/>
      <c r="D91" s="2"/>
      <c r="E91" s="3"/>
      <c r="F91" s="4"/>
      <c r="G91" s="5"/>
      <c r="H91" s="6"/>
      <c r="I91" s="7"/>
      <c r="J91" s="8"/>
      <c r="K91" s="9"/>
      <c r="L91" s="10"/>
      <c r="M91" s="11"/>
      <c r="N91" s="12"/>
      <c r="O91" s="13">
        <v>1</v>
      </c>
      <c r="P91" s="14"/>
      <c r="Q91" s="15"/>
      <c r="R91" s="16"/>
      <c r="S91">
        <f>B91*SUMPRODUCT(C91:R91, C$101:R$101)</f>
        <v>1763.0640802141677</v>
      </c>
    </row>
    <row r="92" spans="1:19" x14ac:dyDescent="0.25">
      <c r="A92">
        <v>90</v>
      </c>
      <c r="B92">
        <v>0.14879697477653001</v>
      </c>
      <c r="C92" s="1"/>
      <c r="D92" s="2"/>
      <c r="E92" s="3"/>
      <c r="F92" s="4"/>
      <c r="G92" s="5"/>
      <c r="H92" s="6"/>
      <c r="I92" s="7"/>
      <c r="J92" s="8"/>
      <c r="K92" s="9"/>
      <c r="L92" s="10"/>
      <c r="M92" s="11"/>
      <c r="N92" s="12"/>
      <c r="O92" s="13">
        <v>1</v>
      </c>
      <c r="P92" s="14"/>
      <c r="Q92" s="15"/>
      <c r="R92" s="16"/>
      <c r="S92">
        <f>B92*SUMPRODUCT(C92:R92, C$101:R$101)</f>
        <v>964.5349999199459</v>
      </c>
    </row>
    <row r="93" spans="1:19" x14ac:dyDescent="0.25">
      <c r="A93">
        <v>91</v>
      </c>
      <c r="B93">
        <v>0.28620704020926602</v>
      </c>
      <c r="C93" s="1"/>
      <c r="D93" s="2"/>
      <c r="E93" s="3"/>
      <c r="F93" s="4"/>
      <c r="G93" s="5"/>
      <c r="H93" s="6"/>
      <c r="I93" s="7"/>
      <c r="J93" s="8"/>
      <c r="K93" s="9"/>
      <c r="L93" s="10"/>
      <c r="M93" s="11"/>
      <c r="N93" s="12"/>
      <c r="O93" s="13">
        <v>0.3</v>
      </c>
      <c r="P93" s="14">
        <v>0.7</v>
      </c>
      <c r="Q93" s="15"/>
      <c r="R93" s="16"/>
      <c r="S93">
        <f>B93*SUMPRODUCT(C93:R93, C$101:R$101)</f>
        <v>1949.5181854642278</v>
      </c>
    </row>
    <row r="94" spans="1:19" x14ac:dyDescent="0.25">
      <c r="A94">
        <v>92</v>
      </c>
      <c r="B94">
        <v>0</v>
      </c>
      <c r="C94" s="1"/>
      <c r="D94" s="2"/>
      <c r="E94" s="3"/>
      <c r="F94" s="4"/>
      <c r="G94" s="5"/>
      <c r="H94" s="6"/>
      <c r="I94" s="7"/>
      <c r="J94" s="8"/>
      <c r="K94" s="9"/>
      <c r="L94" s="10"/>
      <c r="M94" s="11"/>
      <c r="N94" s="12"/>
      <c r="O94" s="13"/>
      <c r="P94" s="14"/>
      <c r="Q94" s="15"/>
      <c r="R94" s="16"/>
      <c r="S94">
        <f>B94*SUMPRODUCT(C94:R94, C$101:R$101)</f>
        <v>0</v>
      </c>
    </row>
    <row r="95" spans="1:19" x14ac:dyDescent="0.25">
      <c r="A95">
        <v>93</v>
      </c>
      <c r="B95">
        <v>5.6227865554664101E-2</v>
      </c>
      <c r="C95" s="1"/>
      <c r="D95" s="2"/>
      <c r="E95" s="3"/>
      <c r="F95" s="4"/>
      <c r="G95" s="5"/>
      <c r="H95" s="6"/>
      <c r="I95" s="7"/>
      <c r="J95" s="8"/>
      <c r="K95" s="9"/>
      <c r="L95" s="10"/>
      <c r="M95" s="11"/>
      <c r="N95" s="12">
        <v>1</v>
      </c>
      <c r="O95" s="13"/>
      <c r="P95" s="14"/>
      <c r="Q95" s="15"/>
      <c r="R95" s="16"/>
      <c r="S95">
        <f>B95*SUMPRODUCT(C95:R95, C$101:R$101)</f>
        <v>415.83599329568284</v>
      </c>
    </row>
    <row r="96" spans="1:19" x14ac:dyDescent="0.25">
      <c r="A96">
        <v>94</v>
      </c>
      <c r="B96">
        <v>6.7265014688260294E-2</v>
      </c>
      <c r="C96" s="1"/>
      <c r="D96" s="2"/>
      <c r="E96" s="3"/>
      <c r="F96" s="4"/>
      <c r="G96" s="5"/>
      <c r="H96" s="6"/>
      <c r="I96" s="7"/>
      <c r="J96" s="8"/>
      <c r="K96" s="9"/>
      <c r="L96" s="10"/>
      <c r="M96" s="11"/>
      <c r="N96" s="12">
        <v>1</v>
      </c>
      <c r="O96" s="13"/>
      <c r="P96" s="14"/>
      <c r="Q96" s="15"/>
      <c r="R96" s="16"/>
      <c r="S96">
        <f>B96*SUMPRODUCT(C96:R96, C$101:R$101)</f>
        <v>497.46178200109898</v>
      </c>
    </row>
    <row r="97" spans="1:19" x14ac:dyDescent="0.25">
      <c r="A97">
        <v>95</v>
      </c>
      <c r="B97">
        <v>0.1117003375813</v>
      </c>
      <c r="C97" s="1"/>
      <c r="D97" s="2"/>
      <c r="E97" s="3"/>
      <c r="F97" s="4"/>
      <c r="G97" s="5"/>
      <c r="H97" s="6"/>
      <c r="I97" s="7"/>
      <c r="J97" s="8"/>
      <c r="K97" s="9"/>
      <c r="L97" s="10"/>
      <c r="M97" s="11"/>
      <c r="N97" s="12">
        <v>1</v>
      </c>
      <c r="O97" s="13"/>
      <c r="P97" s="14"/>
      <c r="Q97" s="15"/>
      <c r="R97" s="16"/>
      <c r="S97">
        <f>B97*SUMPRODUCT(C97:R97, C$101:R$101)</f>
        <v>826.08543595569643</v>
      </c>
    </row>
    <row r="98" spans="1:19" x14ac:dyDescent="0.25">
      <c r="A98">
        <v>96</v>
      </c>
      <c r="B98">
        <v>0.10898666097123599</v>
      </c>
      <c r="C98" s="1"/>
      <c r="D98" s="2"/>
      <c r="E98" s="3"/>
      <c r="F98" s="4"/>
      <c r="G98" s="5"/>
      <c r="H98" s="6"/>
      <c r="I98" s="7"/>
      <c r="J98" s="8"/>
      <c r="K98" s="9"/>
      <c r="L98" s="10"/>
      <c r="M98" s="11"/>
      <c r="N98" s="12">
        <v>1</v>
      </c>
      <c r="O98" s="13"/>
      <c r="P98" s="14"/>
      <c r="Q98" s="15"/>
      <c r="R98" s="16"/>
      <c r="S98">
        <f>B98*SUMPRODUCT(C98:R98, C$101:R$101)</f>
        <v>806.0163047963041</v>
      </c>
    </row>
    <row r="99" spans="1:19" x14ac:dyDescent="0.25">
      <c r="A99">
        <v>97</v>
      </c>
      <c r="B99">
        <v>0.38340060335461201</v>
      </c>
      <c r="C99" s="1"/>
      <c r="D99" s="2"/>
      <c r="E99" s="3"/>
      <c r="F99" s="4"/>
      <c r="G99" s="5"/>
      <c r="H99" s="6"/>
      <c r="I99" s="7"/>
      <c r="J99" s="8"/>
      <c r="K99" s="9"/>
      <c r="L99" s="10"/>
      <c r="M99" s="11">
        <v>0.4</v>
      </c>
      <c r="N99" s="12">
        <v>0.6</v>
      </c>
      <c r="O99" s="13"/>
      <c r="P99" s="14"/>
      <c r="Q99" s="15"/>
      <c r="R99" s="16"/>
      <c r="S99">
        <f>B99*SUMPRODUCT(C99:R99, C$101:R$101)</f>
        <v>1716.1378053155779</v>
      </c>
    </row>
    <row r="100" spans="1:19" x14ac:dyDescent="0.25">
      <c r="A100">
        <v>98</v>
      </c>
      <c r="B100">
        <v>0.93308011748348796</v>
      </c>
      <c r="C100" s="1"/>
      <c r="D100" s="2"/>
      <c r="E100" s="3"/>
      <c r="F100" s="4"/>
      <c r="G100" s="5"/>
      <c r="H100" s="6"/>
      <c r="I100" s="7"/>
      <c r="J100" s="8"/>
      <c r="K100" s="9"/>
      <c r="L100" s="10"/>
      <c r="M100" s="11">
        <v>0.66</v>
      </c>
      <c r="N100" s="12">
        <v>0.34</v>
      </c>
      <c r="O100" s="13"/>
      <c r="P100" s="14"/>
      <c r="Q100" s="15"/>
      <c r="R100" s="16"/>
      <c r="S100">
        <f>B100*SUMPRODUCT(C100:R100, C$101:R$101)</f>
        <v>2405.9008364263932</v>
      </c>
    </row>
    <row r="101" spans="1:19" x14ac:dyDescent="0.25">
      <c r="B101" s="17" t="s">
        <v>3</v>
      </c>
      <c r="C101">
        <v>13279.721030000001</v>
      </c>
      <c r="D101">
        <v>14549.57209</v>
      </c>
      <c r="E101">
        <v>10178.344810000001</v>
      </c>
      <c r="F101">
        <v>5424.827577</v>
      </c>
      <c r="G101">
        <v>9010.0604010000006</v>
      </c>
      <c r="H101">
        <v>9936.8443499999994</v>
      </c>
      <c r="I101">
        <v>9525.0940310000005</v>
      </c>
      <c r="J101">
        <v>5720.8411109999997</v>
      </c>
      <c r="K101">
        <v>9441.8616239999992</v>
      </c>
      <c r="L101">
        <v>201.1145095</v>
      </c>
      <c r="M101">
        <v>96.914277979999994</v>
      </c>
      <c r="N101">
        <v>7395.5500389999997</v>
      </c>
      <c r="O101">
        <v>6482.2218419999999</v>
      </c>
      <c r="P101">
        <v>6952.7137030000004</v>
      </c>
      <c r="Q101">
        <v>3249.1503619999999</v>
      </c>
      <c r="R101">
        <v>3331.4554840000001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ockers</dc:creator>
  <cp:lastModifiedBy>jeroen ockers</cp:lastModifiedBy>
  <dcterms:created xsi:type="dcterms:W3CDTF">2025-09-09T13:38:38Z</dcterms:created>
  <dcterms:modified xsi:type="dcterms:W3CDTF">2025-09-09T13:58:40Z</dcterms:modified>
</cp:coreProperties>
</file>